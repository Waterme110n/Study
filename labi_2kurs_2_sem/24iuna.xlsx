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 l="1"/>
  <c r="C5" i="1"/>
  <c r="D3" i="1" l="1"/>
  <c r="F8" i="1"/>
  <c r="D8" i="1"/>
  <c r="F10" i="1"/>
  <c r="D10" i="1"/>
  <c r="D7" i="1"/>
  <c r="D9" i="1"/>
  <c r="D11" i="1" l="1"/>
  <c r="F11" i="1" s="1"/>
  <c r="F9" i="1" l="1"/>
  <c r="F6" i="1"/>
  <c r="F5" i="1"/>
  <c r="F7" i="1"/>
  <c r="F4" i="1"/>
  <c r="F3" i="1"/>
  <c r="D2" i="1"/>
  <c r="F2" i="1" s="1"/>
</calcChain>
</file>

<file path=xl/sharedStrings.xml><?xml version="1.0" encoding="utf-8"?>
<sst xmlns="http://schemas.openxmlformats.org/spreadsheetml/2006/main" count="54" uniqueCount="52">
  <si>
    <t>Ссылка</t>
  </si>
  <si>
    <t>кол-во чел</t>
  </si>
  <si>
    <t xml:space="preserve">на сколько ахуенный </t>
  </si>
  <si>
    <t>Название</t>
  </si>
  <si>
    <t>https://realt.by/rent-cottage-for-day/object/1589722/</t>
  </si>
  <si>
    <t>андреевский</t>
  </si>
  <si>
    <t>КОЛ_ВО НАС</t>
  </si>
  <si>
    <t>Катя</t>
  </si>
  <si>
    <t xml:space="preserve">Арсений </t>
  </si>
  <si>
    <t>Миша И.</t>
  </si>
  <si>
    <t>С человека ?</t>
  </si>
  <si>
    <t>стоимость всего</t>
  </si>
  <si>
    <t>https://realt.by/rent-cottage-for-day/object/1503425/</t>
  </si>
  <si>
    <t>Forest vilage</t>
  </si>
  <si>
    <t>Итоговая цена на чела</t>
  </si>
  <si>
    <t>https://flatby.by/kottedzh-95/</t>
  </si>
  <si>
    <t>Изн. Стоймость</t>
  </si>
  <si>
    <t>https://flatby.by/kottedzh-91/</t>
  </si>
  <si>
    <t xml:space="preserve">Скидка есть </t>
  </si>
  <si>
    <t>https://flatby.by/kottedzh-84/</t>
  </si>
  <si>
    <t>Снять котедж на сутки</t>
  </si>
  <si>
    <t>https://realt.by/rent-cottage-for-day/object/2969370/</t>
  </si>
  <si>
    <t>14!!!</t>
  </si>
  <si>
    <t>?</t>
  </si>
  <si>
    <t>странный</t>
  </si>
  <si>
    <t>https://realt.by/rent-cottage-for-day/object/2833674/</t>
  </si>
  <si>
    <t>+-3</t>
  </si>
  <si>
    <t>ЛЕОН</t>
  </si>
  <si>
    <t>https://www.hata.by/object/1300617/#titlespec</t>
  </si>
  <si>
    <t>https://www.hata.by/object/1551564/#titlespec</t>
  </si>
  <si>
    <t>Колодищи старина</t>
  </si>
  <si>
    <t>Летом дороже</t>
  </si>
  <si>
    <t>Дольче вита</t>
  </si>
  <si>
    <t>https://re.kufar.by/vi/minsk/snyat/dom-na-sutki/227454658?checkInDate=1719187200000&amp;checkOutDate=1719273600000&amp;rank=8&amp;searchId=0931882fd7aba118357bf9a571f9276db622</t>
  </si>
  <si>
    <t>нету ни басеина ни сауны</t>
  </si>
  <si>
    <t>но челов мало</t>
  </si>
  <si>
    <t>ноехать далеко</t>
  </si>
  <si>
    <t xml:space="preserve">дешевый за него ручается Никита </t>
  </si>
  <si>
    <t xml:space="preserve">Есть ли скидка с сайта </t>
  </si>
  <si>
    <t>со скольки начинается  стоймость за человека</t>
  </si>
  <si>
    <t>занят ли 24 - 25 числа</t>
  </si>
  <si>
    <t>со скольки до скольки выселение</t>
  </si>
  <si>
    <t>когда вьезд и выезд</t>
  </si>
  <si>
    <t>12 до 3</t>
  </si>
  <si>
    <t>но ехать далеко, бассеин включен</t>
  </si>
  <si>
    <t>15 до 12</t>
  </si>
  <si>
    <t xml:space="preserve">А баня включена </t>
  </si>
  <si>
    <t>"+375 29 688-81-44</t>
  </si>
  <si>
    <t>2 до 12</t>
  </si>
  <si>
    <t>4 до 12</t>
  </si>
  <si>
    <t>Не точно опредилится после 20мая</t>
  </si>
  <si>
    <t>3 до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</si>
</sst>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11"/>
      <color rgb="FF1D2126"/>
      <name val="Calibri"/>
      <family val="2"/>
      <charset val="204"/>
      <scheme val="minor"/>
    </font>
    <font>
      <sz val="11"/>
      <color rgb="FF000000"/>
      <name val="Segoe U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/>
    <xf numFmtId="0" fontId="0" fillId="3" borderId="0" xfId="0" applyFill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/>
    <xf numFmtId="0" fontId="0" fillId="4" borderId="1" xfId="0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0" fillId="2" borderId="1" xfId="0" applyFill="1" applyBorder="1"/>
    <xf numFmtId="0" fontId="0" fillId="4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0" fontId="4" fillId="3" borderId="0" xfId="0" applyFont="1" applyFill="1" applyAlignment="1">
      <alignment horizontal="left"/>
    </xf>
    <xf numFmtId="0" fontId="5" fillId="4" borderId="2" xfId="1" applyFill="1" applyBorder="1" applyAlignment="1">
      <alignment horizontal="right"/>
    </xf>
    <xf numFmtId="0" fontId="5" fillId="2" borderId="2" xfId="1" applyFill="1" applyBorder="1" applyAlignment="1">
      <alignment horizontal="right"/>
    </xf>
    <xf numFmtId="0" fontId="5" fillId="4" borderId="2" xfId="1" applyFill="1" applyBorder="1" applyAlignment="1">
      <alignment horizontal="right" vertical="center"/>
    </xf>
    <xf numFmtId="0" fontId="0" fillId="5" borderId="0" xfId="0" applyFill="1" applyBorder="1"/>
    <xf numFmtId="0" fontId="0" fillId="0" borderId="0" xfId="0" applyBorder="1"/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4" fillId="6" borderId="1" xfId="0" applyFont="1" applyFill="1" applyBorder="1"/>
    <xf numFmtId="0" fontId="4" fillId="6" borderId="1" xfId="0" applyFont="1" applyFill="1" applyBorder="1" applyAlignment="1">
      <alignment horizontal="center"/>
    </xf>
    <xf numFmtId="0" fontId="5" fillId="6" borderId="2" xfId="1" applyFill="1" applyBorder="1" applyAlignment="1">
      <alignment horizontal="right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0" borderId="0" xfId="0" applyFont="1"/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5" fillId="6" borderId="0" xfId="1" applyFill="1" applyAlignment="1">
      <alignment horizontal="right"/>
    </xf>
    <xf numFmtId="0" fontId="1" fillId="2" borderId="1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e.kufar.by/vi/minsk/snyat/dom-na-sutki/227454658?checkInDate=1719187200000&amp;checkOutDate=1719273600000&amp;rank=8&amp;searchId=0931882fd7aba118357bf9a571f9276db622" TargetMode="External"/><Relationship Id="rId3" Type="http://schemas.openxmlformats.org/officeDocument/2006/relationships/hyperlink" Target="https://flatby.by/kottedzh-91/" TargetMode="External"/><Relationship Id="rId7" Type="http://schemas.openxmlformats.org/officeDocument/2006/relationships/hyperlink" Target="https://www.hata.by/object/1300617/" TargetMode="External"/><Relationship Id="rId2" Type="http://schemas.openxmlformats.org/officeDocument/2006/relationships/hyperlink" Target="https://flatby.by/kottedzh-84/" TargetMode="External"/><Relationship Id="rId1" Type="http://schemas.openxmlformats.org/officeDocument/2006/relationships/hyperlink" Target="https://realt.by/rent-cottage-for-day/object/2969370/" TargetMode="External"/><Relationship Id="rId6" Type="http://schemas.openxmlformats.org/officeDocument/2006/relationships/hyperlink" Target="https://realt.by/rent-cottage-for-day/object/1589722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realt.by/rent-cottage-for-day/object/1503425/" TargetMode="External"/><Relationship Id="rId10" Type="http://schemas.openxmlformats.org/officeDocument/2006/relationships/hyperlink" Target="https://realt.by/rent-cottage-for-day/object/2833674/" TargetMode="External"/><Relationship Id="rId4" Type="http://schemas.openxmlformats.org/officeDocument/2006/relationships/hyperlink" Target="https://flatby.by/kottedzh-95/" TargetMode="External"/><Relationship Id="rId9" Type="http://schemas.openxmlformats.org/officeDocument/2006/relationships/hyperlink" Target="https://www.hata.by/object/155156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zoomScale="120" workbookViewId="0">
      <selection activeCell="H9" sqref="H9"/>
    </sheetView>
  </sheetViews>
  <sheetFormatPr defaultRowHeight="15" x14ac:dyDescent="0.25"/>
  <cols>
    <col min="1" max="1" width="24.7109375" customWidth="1"/>
    <col min="2" max="2" width="13.42578125" customWidth="1"/>
    <col min="3" max="3" width="17" customWidth="1"/>
    <col min="4" max="4" width="23.5703125" customWidth="1"/>
    <col min="5" max="5" width="24.28515625" customWidth="1"/>
    <col min="6" max="6" width="18.140625" customWidth="1"/>
    <col min="7" max="7" width="32.85546875" customWidth="1"/>
    <col min="8" max="8" width="7.85546875" customWidth="1"/>
    <col min="9" max="9" width="30.140625" customWidth="1"/>
    <col min="10" max="11" width="3" customWidth="1"/>
    <col min="12" max="12" width="12.42578125" customWidth="1"/>
    <col min="13" max="13" width="15.42578125" customWidth="1"/>
  </cols>
  <sheetData>
    <row r="1" spans="1:15" x14ac:dyDescent="0.25">
      <c r="A1" s="2" t="s">
        <v>3</v>
      </c>
      <c r="B1" s="2" t="s">
        <v>1</v>
      </c>
      <c r="C1" s="3" t="s">
        <v>16</v>
      </c>
      <c r="D1" s="2" t="s">
        <v>11</v>
      </c>
      <c r="E1" s="2" t="s">
        <v>10</v>
      </c>
      <c r="F1" s="3" t="s">
        <v>14</v>
      </c>
      <c r="G1" s="2" t="s">
        <v>2</v>
      </c>
      <c r="H1" s="16" t="s">
        <v>0</v>
      </c>
      <c r="I1" s="36" t="s">
        <v>42</v>
      </c>
    </row>
    <row r="2" spans="1:15" x14ac:dyDescent="0.25">
      <c r="A2" s="4" t="s">
        <v>5</v>
      </c>
      <c r="B2" s="5">
        <v>20</v>
      </c>
      <c r="C2" s="6">
        <v>0</v>
      </c>
      <c r="D2" s="7">
        <f>E2*L3</f>
        <v>900</v>
      </c>
      <c r="E2" s="6">
        <v>50</v>
      </c>
      <c r="F2" s="6">
        <f t="shared" ref="F2:F8" si="0">D2/L$3</f>
        <v>50</v>
      </c>
      <c r="G2" s="37" t="s">
        <v>46</v>
      </c>
      <c r="H2" s="17" t="s">
        <v>4</v>
      </c>
      <c r="I2" s="29" t="s">
        <v>45</v>
      </c>
      <c r="J2" s="20"/>
      <c r="K2" s="20"/>
      <c r="L2" s="29" t="s">
        <v>6</v>
      </c>
      <c r="M2" s="31"/>
      <c r="N2" s="21"/>
      <c r="O2" s="21"/>
    </row>
    <row r="3" spans="1:15" x14ac:dyDescent="0.25">
      <c r="A3" s="8" t="s">
        <v>13</v>
      </c>
      <c r="B3" s="7">
        <v>20</v>
      </c>
      <c r="C3" s="6">
        <v>400</v>
      </c>
      <c r="D3" s="7">
        <f>E3*L$3+C3</f>
        <v>1120</v>
      </c>
      <c r="E3" s="7">
        <v>40</v>
      </c>
      <c r="F3" s="6">
        <f t="shared" si="0"/>
        <v>62.222222222222221</v>
      </c>
      <c r="G3" s="22" t="s">
        <v>36</v>
      </c>
      <c r="H3" s="17" t="s">
        <v>12</v>
      </c>
      <c r="I3" s="29" t="s">
        <v>49</v>
      </c>
      <c r="J3" s="20"/>
      <c r="K3" s="20"/>
      <c r="L3" s="30">
        <v>18</v>
      </c>
      <c r="M3" s="32" t="s">
        <v>26</v>
      </c>
      <c r="N3" s="21"/>
      <c r="O3" s="21"/>
    </row>
    <row r="4" spans="1:15" x14ac:dyDescent="0.25">
      <c r="A4" s="9">
        <v>95</v>
      </c>
      <c r="B4" s="10">
        <v>30</v>
      </c>
      <c r="C4" s="11">
        <v>650</v>
      </c>
      <c r="D4" s="10">
        <f>C4</f>
        <v>650</v>
      </c>
      <c r="E4" s="10">
        <v>35</v>
      </c>
      <c r="F4" s="11">
        <f t="shared" si="0"/>
        <v>36.111111111111114</v>
      </c>
      <c r="G4" s="46" t="s">
        <v>50</v>
      </c>
      <c r="H4" s="18" t="s">
        <v>15</v>
      </c>
      <c r="I4" s="29" t="s">
        <v>48</v>
      </c>
      <c r="J4" s="20"/>
      <c r="K4" s="20"/>
      <c r="L4" s="29"/>
      <c r="M4" s="11" t="s">
        <v>8</v>
      </c>
      <c r="N4" s="21"/>
      <c r="O4" s="21"/>
    </row>
    <row r="5" spans="1:15" x14ac:dyDescent="0.25">
      <c r="A5" s="42">
        <v>91</v>
      </c>
      <c r="B5" s="7">
        <v>20</v>
      </c>
      <c r="C5" s="6">
        <f>1250</f>
        <v>1250</v>
      </c>
      <c r="D5" s="7">
        <f>C5-(E5*(20-L3))</f>
        <v>1150</v>
      </c>
      <c r="E5" s="7">
        <v>50</v>
      </c>
      <c r="F5" s="6">
        <f t="shared" si="0"/>
        <v>63.888888888888886</v>
      </c>
      <c r="G5" s="8" t="s">
        <v>18</v>
      </c>
      <c r="H5" s="17" t="s">
        <v>17</v>
      </c>
      <c r="I5" s="29" t="s">
        <v>45</v>
      </c>
      <c r="J5" s="20"/>
      <c r="K5" s="20"/>
      <c r="L5" s="29"/>
      <c r="M5" s="11" t="s">
        <v>7</v>
      </c>
      <c r="N5" s="21"/>
      <c r="O5" s="21"/>
    </row>
    <row r="6" spans="1:15" x14ac:dyDescent="0.25">
      <c r="A6" s="42">
        <v>84</v>
      </c>
      <c r="B6" s="7">
        <v>25</v>
      </c>
      <c r="C6" s="6">
        <v>500</v>
      </c>
      <c r="D6" s="7">
        <v>950</v>
      </c>
      <c r="E6" s="7">
        <v>40</v>
      </c>
      <c r="F6" s="6">
        <f t="shared" si="0"/>
        <v>52.777777777777779</v>
      </c>
      <c r="G6" s="37" t="s">
        <v>44</v>
      </c>
      <c r="H6" s="17" t="s">
        <v>19</v>
      </c>
      <c r="I6" s="29" t="s">
        <v>43</v>
      </c>
      <c r="J6" s="20"/>
      <c r="K6" s="20"/>
      <c r="L6" s="29"/>
      <c r="M6" s="11" t="s">
        <v>9</v>
      </c>
      <c r="N6" s="21"/>
      <c r="O6" s="21"/>
    </row>
    <row r="7" spans="1:15" x14ac:dyDescent="0.25">
      <c r="A7" s="24" t="s">
        <v>20</v>
      </c>
      <c r="B7" s="40" t="s">
        <v>22</v>
      </c>
      <c r="C7" s="25">
        <v>404</v>
      </c>
      <c r="D7" s="26">
        <f>E7*L$3+C7</f>
        <v>1124</v>
      </c>
      <c r="E7" s="26">
        <v>40</v>
      </c>
      <c r="F7" s="25">
        <f t="shared" si="0"/>
        <v>62.444444444444443</v>
      </c>
      <c r="G7" s="41" t="s">
        <v>35</v>
      </c>
      <c r="H7" s="28" t="s">
        <v>21</v>
      </c>
      <c r="I7" s="25"/>
      <c r="J7" s="20"/>
      <c r="K7" s="20"/>
      <c r="L7" s="20"/>
      <c r="M7" s="21"/>
      <c r="N7" s="21"/>
      <c r="O7" s="21"/>
    </row>
    <row r="8" spans="1:15" x14ac:dyDescent="0.25">
      <c r="A8" s="24" t="s">
        <v>20</v>
      </c>
      <c r="B8" s="25" t="s">
        <v>23</v>
      </c>
      <c r="C8" s="25">
        <v>50</v>
      </c>
      <c r="D8" s="26">
        <f>E8*L$3+C8</f>
        <v>320</v>
      </c>
      <c r="E8" s="26">
        <v>15</v>
      </c>
      <c r="F8" s="25">
        <f t="shared" si="0"/>
        <v>17.777777777777779</v>
      </c>
      <c r="G8" s="27" t="s">
        <v>24</v>
      </c>
      <c r="H8" s="28" t="s">
        <v>25</v>
      </c>
      <c r="I8" s="25"/>
      <c r="J8" s="20"/>
      <c r="K8" s="20"/>
      <c r="L8" s="20"/>
      <c r="M8" s="21"/>
      <c r="N8" s="21"/>
      <c r="O8" s="21"/>
    </row>
    <row r="9" spans="1:15" ht="16.5" customHeight="1" x14ac:dyDescent="0.25">
      <c r="A9" s="12" t="s">
        <v>27</v>
      </c>
      <c r="B9" s="13">
        <v>20</v>
      </c>
      <c r="C9" s="14">
        <v>645</v>
      </c>
      <c r="D9" s="13">
        <f>C9</f>
        <v>645</v>
      </c>
      <c r="E9" s="13">
        <v>48</v>
      </c>
      <c r="F9" s="15">
        <f>D9/L$3</f>
        <v>35.833333333333336</v>
      </c>
      <c r="G9" s="23" t="s">
        <v>37</v>
      </c>
      <c r="H9" s="19" t="s">
        <v>28</v>
      </c>
      <c r="I9" s="29" t="s">
        <v>51</v>
      </c>
      <c r="J9" s="20"/>
      <c r="K9" s="20"/>
      <c r="L9" s="20"/>
      <c r="M9" s="21"/>
      <c r="N9" s="21"/>
      <c r="O9" s="21"/>
    </row>
    <row r="10" spans="1:15" x14ac:dyDescent="0.25">
      <c r="A10" s="24" t="s">
        <v>30</v>
      </c>
      <c r="B10" s="25">
        <v>25</v>
      </c>
      <c r="C10" s="25">
        <v>419</v>
      </c>
      <c r="D10" s="38">
        <f>E10*(L$3-10)+C10</f>
        <v>819</v>
      </c>
      <c r="E10" s="26">
        <v>50</v>
      </c>
      <c r="F10" s="39">
        <f>D10/L$3</f>
        <v>45.5</v>
      </c>
      <c r="G10" s="27" t="s">
        <v>31</v>
      </c>
      <c r="H10" s="28" t="s">
        <v>29</v>
      </c>
      <c r="I10" s="25"/>
      <c r="J10" s="20"/>
      <c r="K10" s="20"/>
      <c r="L10" s="20"/>
      <c r="M10" s="21"/>
      <c r="N10" s="21"/>
      <c r="O10" s="21"/>
    </row>
    <row r="11" spans="1:15" x14ac:dyDescent="0.25">
      <c r="A11" s="43" t="s">
        <v>32</v>
      </c>
      <c r="B11" s="44">
        <v>30</v>
      </c>
      <c r="C11" s="44">
        <v>600</v>
      </c>
      <c r="D11" s="38">
        <f>E11*(L$3-10)+C11</f>
        <v>600</v>
      </c>
      <c r="E11" s="44"/>
      <c r="F11" s="39">
        <f>D11/L$3</f>
        <v>33.333333333333336</v>
      </c>
      <c r="G11" s="44" t="s">
        <v>34</v>
      </c>
      <c r="H11" s="45" t="s">
        <v>33</v>
      </c>
      <c r="I11" s="31"/>
      <c r="J11" s="21"/>
      <c r="K11" s="21"/>
      <c r="M11" s="21"/>
    </row>
    <row r="12" spans="1:15" x14ac:dyDescent="0.25">
      <c r="A12" s="1"/>
      <c r="I12" s="21"/>
      <c r="J12" s="21"/>
      <c r="K12" s="21"/>
    </row>
    <row r="13" spans="1:15" x14ac:dyDescent="0.25">
      <c r="A13" s="1"/>
      <c r="I13" s="21"/>
      <c r="J13" s="21"/>
      <c r="K13" s="21"/>
    </row>
    <row r="14" spans="1:15" x14ac:dyDescent="0.25">
      <c r="A14" s="1"/>
      <c r="I14" s="21"/>
      <c r="J14" s="21"/>
      <c r="K14" s="21"/>
    </row>
    <row r="15" spans="1:15" x14ac:dyDescent="0.25">
      <c r="I15" s="21"/>
      <c r="J15" s="21"/>
      <c r="K15" s="21"/>
    </row>
    <row r="16" spans="1:15" ht="61.5" customHeight="1" x14ac:dyDescent="0.3">
      <c r="A16" s="33" t="s">
        <v>38</v>
      </c>
      <c r="B16" s="34" t="s">
        <v>39</v>
      </c>
      <c r="C16" s="34" t="s">
        <v>40</v>
      </c>
      <c r="D16" s="34" t="s">
        <v>41</v>
      </c>
      <c r="E16" s="35" t="s">
        <v>47</v>
      </c>
      <c r="F16" s="34"/>
      <c r="I16" s="21"/>
      <c r="J16" s="21"/>
      <c r="K16" s="21"/>
    </row>
    <row r="17" spans="9:11" x14ac:dyDescent="0.25">
      <c r="I17" s="21"/>
      <c r="J17" s="21"/>
      <c r="K17" s="21"/>
    </row>
    <row r="18" spans="9:11" x14ac:dyDescent="0.25">
      <c r="I18" s="21"/>
      <c r="J18" s="21"/>
      <c r="K18" s="21"/>
    </row>
    <row r="19" spans="9:11" x14ac:dyDescent="0.25">
      <c r="I19" s="21"/>
      <c r="J19" s="21"/>
      <c r="K19" s="21"/>
    </row>
    <row r="20" spans="9:11" x14ac:dyDescent="0.25">
      <c r="I20" s="21"/>
      <c r="J20" s="21"/>
      <c r="K20" s="21"/>
    </row>
    <row r="21" spans="9:11" x14ac:dyDescent="0.25">
      <c r="I21" s="21"/>
      <c r="J21" s="21"/>
      <c r="K21" s="21"/>
    </row>
    <row r="22" spans="9:11" x14ac:dyDescent="0.25">
      <c r="I22" s="21"/>
      <c r="J22" s="21"/>
      <c r="K22" s="21"/>
    </row>
    <row r="23" spans="9:11" x14ac:dyDescent="0.25">
      <c r="I23" s="21"/>
      <c r="J23" s="21"/>
      <c r="K23" s="21"/>
    </row>
    <row r="24" spans="9:11" x14ac:dyDescent="0.25">
      <c r="I24" s="21"/>
      <c r="J24" s="21"/>
      <c r="K24" s="21"/>
    </row>
    <row r="25" spans="9:11" x14ac:dyDescent="0.25">
      <c r="I25" s="21"/>
      <c r="J25" s="21"/>
      <c r="K25" s="21"/>
    </row>
    <row r="26" spans="9:11" x14ac:dyDescent="0.25">
      <c r="I26" s="21"/>
      <c r="J26" s="21"/>
      <c r="K26" s="21"/>
    </row>
    <row r="27" spans="9:11" x14ac:dyDescent="0.25">
      <c r="I27" s="21"/>
      <c r="J27" s="21"/>
      <c r="K27" s="21"/>
    </row>
    <row r="28" spans="9:11" x14ac:dyDescent="0.25">
      <c r="I28" s="21"/>
      <c r="J28" s="21"/>
      <c r="K28" s="21"/>
    </row>
    <row r="29" spans="9:11" x14ac:dyDescent="0.25">
      <c r="I29" s="21"/>
      <c r="J29" s="21"/>
      <c r="K29" s="21"/>
    </row>
    <row r="30" spans="9:11" x14ac:dyDescent="0.25">
      <c r="I30" s="21"/>
      <c r="J30" s="21"/>
      <c r="K30" s="21"/>
    </row>
  </sheetData>
  <hyperlinks>
    <hyperlink ref="H7" r:id="rId1"/>
    <hyperlink ref="H6" r:id="rId2"/>
    <hyperlink ref="H5" r:id="rId3"/>
    <hyperlink ref="H4" r:id="rId4"/>
    <hyperlink ref="H3" r:id="rId5"/>
    <hyperlink ref="H2" r:id="rId6"/>
    <hyperlink ref="H9" r:id="rId7" location="titlespec"/>
    <hyperlink ref="H11" r:id="rId8"/>
    <hyperlink ref="H10" r:id="rId9" location="titlespec"/>
    <hyperlink ref="H8" r:id="rId10"/>
  </hyperlinks>
  <pageMargins left="0.7" right="0.7" top="0.75" bottom="0.75" header="0.3" footer="0.3"/>
  <pageSetup paperSize="9" orientation="portrait" verticalDpi="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2024-05-07T12:21:01Z</dcterms:modified>
</cp:coreProperties>
</file>