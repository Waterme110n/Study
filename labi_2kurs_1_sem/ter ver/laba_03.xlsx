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bi 2kurs 1 sem\ter ver\"/>
    </mc:Choice>
  </mc:AlternateContent>
  <bookViews>
    <workbookView xWindow="0" yWindow="0" windowWidth="28800" windowHeight="128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5" i="1" l="1"/>
  <c r="G58" i="1"/>
  <c r="E63" i="1"/>
  <c r="F62" i="1"/>
  <c r="E62" i="1"/>
  <c r="D63" i="1"/>
  <c r="D62" i="1"/>
  <c r="H55" i="1"/>
  <c r="B56" i="1"/>
  <c r="M30" i="1" l="1"/>
  <c r="D4" i="1"/>
  <c r="F4" i="1"/>
  <c r="D5" i="1"/>
  <c r="F5" i="1"/>
  <c r="D6" i="1"/>
  <c r="E15" i="1"/>
  <c r="E16" i="1"/>
  <c r="B29" i="1"/>
  <c r="C29" i="1"/>
  <c r="D29" i="1"/>
  <c r="E29" i="1"/>
  <c r="F29" i="1"/>
  <c r="G29" i="1"/>
  <c r="H29" i="1"/>
  <c r="E54" i="1"/>
  <c r="H54" i="1"/>
  <c r="E55" i="1"/>
  <c r="K29" i="1" l="1"/>
  <c r="J29" i="1"/>
  <c r="I29" i="1"/>
  <c r="F30" i="1" l="1"/>
  <c r="D30" i="1"/>
  <c r="K30" i="1" s="1"/>
  <c r="J54" i="1"/>
  <c r="M4" i="1"/>
  <c r="M5" i="1" l="1"/>
  <c r="K5" i="1" l="1"/>
  <c r="K4" i="1"/>
</calcChain>
</file>

<file path=xl/sharedStrings.xml><?xml version="1.0" encoding="utf-8"?>
<sst xmlns="http://schemas.openxmlformats.org/spreadsheetml/2006/main" count="76" uniqueCount="43">
  <si>
    <t>Задание 1</t>
  </si>
  <si>
    <t>A</t>
  </si>
  <si>
    <t>B</t>
  </si>
  <si>
    <t xml:space="preserve">alpha = </t>
  </si>
  <si>
    <t>n=</t>
  </si>
  <si>
    <t>x-mean=</t>
  </si>
  <si>
    <t>s^2=</t>
  </si>
  <si>
    <t>f=</t>
  </si>
  <si>
    <t>tрасч=</t>
  </si>
  <si>
    <t>tтабл=</t>
  </si>
  <si>
    <t>Двухвыборочный F-тест для дисперсии</t>
  </si>
  <si>
    <t>Среднее</t>
  </si>
  <si>
    <t>Дисперсия</t>
  </si>
  <si>
    <t>Наблюдения</t>
  </si>
  <si>
    <t>df</t>
  </si>
  <si>
    <t>F</t>
  </si>
  <si>
    <t>P(F&lt;=f) одностороннее</t>
  </si>
  <si>
    <t>F критическое одностороннее</t>
  </si>
  <si>
    <t>Fтабл=</t>
  </si>
  <si>
    <t>Fрасч=</t>
  </si>
  <si>
    <t>Двухвыборочный t-тест с одинаковыми дисперсиями</t>
  </si>
  <si>
    <t>Объединенная дисперсия</t>
  </si>
  <si>
    <t>Гипотетическая разность средних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</si>
  <si>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</si>
  <si>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</si>
  <si>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</si>
  <si>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</si>
  <si>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</si>
  <si>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df=</t>
  </si>
  <si>
    <t>x-mean</t>
  </si>
  <si>
    <t>f</t>
  </si>
  <si>
    <t>Задание 2</t>
  </si>
  <si>
    <t>Засеивание</t>
  </si>
  <si>
    <t xml:space="preserve">Без зассеивания </t>
  </si>
  <si>
    <t>Задание 3</t>
  </si>
  <si>
    <t>Годы</t>
  </si>
  <si>
    <t>1915/16</t>
  </si>
  <si>
    <t>1924/1925</t>
  </si>
  <si>
    <t>S^2{y}</t>
  </si>
  <si>
    <t>n</t>
  </si>
  <si>
    <t>Парный двухвыборочный t-тест для средних</t>
  </si>
  <si>
    <t>Корреляция Пирсона</t>
  </si>
  <si>
    <t>0.00000023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</si>
</sst>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2" borderId="0" xfId="0" applyFill="1"/>
    <xf numFmtId="0" fontId="0" fillId="0" borderId="3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3" xfId="0" applyFill="1" applyBorder="1"/>
    <xf numFmtId="0" fontId="0" fillId="0" borderId="0" xfId="0" applyFill="1"/>
    <xf numFmtId="0" fontId="3" fillId="6" borderId="0" xfId="0" applyFont="1" applyFill="1" applyBorder="1" applyAlignment="1"/>
    <xf numFmtId="0" fontId="0" fillId="7" borderId="1" xfId="0" applyFill="1" applyBorder="1" applyAlignme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topLeftCell="A26" zoomScale="82" zoomScaleNormal="62" workbookViewId="0">
      <selection activeCell="K61" sqref="K61"/>
    </sheetView>
  </sheetViews>
  <sheetFormatPr defaultRowHeight="15" x14ac:dyDescent="0.25"/>
  <cols>
    <col min="1" max="1" width="11.5703125" customWidth="1"/>
    <col min="6" max="6" width="12.7109375" bestFit="1" customWidth="1"/>
    <col min="9" max="9" width="11.5703125" bestFit="1" customWidth="1"/>
  </cols>
  <sheetData>
    <row r="1" spans="1:13" x14ac:dyDescent="0.25">
      <c r="A1" t="s">
        <v>0</v>
      </c>
      <c r="B1" t="s">
        <v>3</v>
      </c>
      <c r="C1">
        <v>0.05</v>
      </c>
    </row>
    <row r="2" spans="1:13" x14ac:dyDescent="0.25">
      <c r="A2" s="7" t="s">
        <v>1</v>
      </c>
      <c r="B2" s="7">
        <v>1493</v>
      </c>
      <c r="C2" s="7">
        <v>1519</v>
      </c>
      <c r="D2" s="7">
        <v>1518</v>
      </c>
      <c r="E2" s="7">
        <v>1512</v>
      </c>
      <c r="F2" s="7">
        <v>1512</v>
      </c>
      <c r="G2" s="7">
        <v>1514</v>
      </c>
      <c r="H2" s="7">
        <v>1489</v>
      </c>
      <c r="I2" s="7">
        <v>1508</v>
      </c>
      <c r="J2" s="7">
        <v>1508</v>
      </c>
      <c r="K2" s="7">
        <v>1494</v>
      </c>
    </row>
    <row r="3" spans="1:13" x14ac:dyDescent="0.25">
      <c r="A3" s="7" t="s">
        <v>2</v>
      </c>
      <c r="B3" s="7">
        <v>1509</v>
      </c>
      <c r="C3" s="7">
        <v>1494</v>
      </c>
      <c r="D3" s="7">
        <v>1512</v>
      </c>
      <c r="E3" s="7">
        <v>1483</v>
      </c>
      <c r="F3" s="7">
        <v>1507</v>
      </c>
      <c r="G3" s="7">
        <v>1491</v>
      </c>
      <c r="H3" s="7"/>
      <c r="I3" s="7"/>
      <c r="J3" s="7"/>
      <c r="K3" s="7"/>
    </row>
    <row r="4" spans="1:13" x14ac:dyDescent="0.25">
      <c r="A4" s="6" t="s">
        <v>4</v>
      </c>
      <c r="B4" s="6">
        <v>10</v>
      </c>
      <c r="C4" s="6" t="s">
        <v>5</v>
      </c>
      <c r="D4" s="6">
        <f>AVERAGE(B2:K2)</f>
        <v>1506.7</v>
      </c>
      <c r="E4" s="6" t="s">
        <v>6</v>
      </c>
      <c r="F4" s="6">
        <f>_xlfn.VAR.S(B2:K2)</f>
        <v>117.12222222222219</v>
      </c>
      <c r="G4" s="6" t="s">
        <v>7</v>
      </c>
      <c r="H4" s="6">
        <v>9</v>
      </c>
      <c r="J4" t="s">
        <v>19</v>
      </c>
      <c r="K4" s="9">
        <f>F5/F4</f>
        <v>1.1566265060240968</v>
      </c>
      <c r="L4" t="s">
        <v>18</v>
      </c>
      <c r="M4" s="5">
        <f>_xlfn.F.INV.RT(C1/2,H5,H4)</f>
        <v>4.4844113141850377</v>
      </c>
    </row>
    <row r="5" spans="1:13" x14ac:dyDescent="0.25">
      <c r="A5" s="6"/>
      <c r="B5" s="6">
        <v>6</v>
      </c>
      <c r="C5" s="6"/>
      <c r="D5" s="6">
        <f>AVERAGE(B3:G3)</f>
        <v>1499.3333333333333</v>
      </c>
      <c r="E5" s="6"/>
      <c r="F5" s="6">
        <f>_xlfn.VAR.S(B3:G3)</f>
        <v>135.46666666666667</v>
      </c>
      <c r="G5" s="6"/>
      <c r="H5" s="6">
        <v>5</v>
      </c>
      <c r="J5" t="s">
        <v>8</v>
      </c>
      <c r="K5" s="10">
        <f>D6/SQRT(F4/B4+F5/B5)</f>
        <v>1.2580192202984848</v>
      </c>
      <c r="L5" t="s">
        <v>9</v>
      </c>
      <c r="M5" s="8">
        <f>_xlfn.T.INV.2T(C1,H6)</f>
        <v>2.1447866879178044</v>
      </c>
    </row>
    <row r="6" spans="1:13" x14ac:dyDescent="0.25">
      <c r="D6" s="6">
        <f>D4-D5</f>
        <v>7.3666666666667879</v>
      </c>
      <c r="G6" s="6" t="s">
        <v>28</v>
      </c>
      <c r="H6" s="6">
        <v>14</v>
      </c>
    </row>
    <row r="9" spans="1:13" x14ac:dyDescent="0.25">
      <c r="A9" t="s">
        <v>10</v>
      </c>
      <c r="F9" t="s">
        <v>20</v>
      </c>
    </row>
    <row r="10" spans="1:13" ht="15.75" thickBot="1" x14ac:dyDescent="0.3"/>
    <row r="11" spans="1:13" x14ac:dyDescent="0.25">
      <c r="A11" s="3"/>
      <c r="B11" s="3" t="s">
        <v>1</v>
      </c>
      <c r="C11" s="3" t="s">
        <v>2</v>
      </c>
      <c r="G11" t="s">
        <v>1</v>
      </c>
      <c r="H11" t="s">
        <v>2</v>
      </c>
    </row>
    <row r="12" spans="1:13" x14ac:dyDescent="0.25">
      <c r="A12" s="1" t="s">
        <v>11</v>
      </c>
      <c r="B12" s="1">
        <v>1506.7</v>
      </c>
      <c r="C12" s="1">
        <v>1499.3333333333333</v>
      </c>
      <c r="F12" t="s">
        <v>11</v>
      </c>
      <c r="G12">
        <v>1506.7</v>
      </c>
      <c r="H12">
        <v>1499.3333333333333</v>
      </c>
    </row>
    <row r="13" spans="1:13" x14ac:dyDescent="0.25">
      <c r="A13" s="1" t="s">
        <v>12</v>
      </c>
      <c r="B13" s="1">
        <v>117.12222222222219</v>
      </c>
      <c r="C13" s="1">
        <v>135.46666666666667</v>
      </c>
      <c r="F13" t="s">
        <v>12</v>
      </c>
      <c r="G13">
        <v>117.12222222222219</v>
      </c>
      <c r="H13">
        <v>135.46666666666667</v>
      </c>
    </row>
    <row r="14" spans="1:13" x14ac:dyDescent="0.25">
      <c r="A14" s="1" t="s">
        <v>13</v>
      </c>
      <c r="B14" s="1">
        <v>10</v>
      </c>
      <c r="C14" s="1">
        <v>6</v>
      </c>
      <c r="F14" t="s">
        <v>13</v>
      </c>
      <c r="G14">
        <v>10</v>
      </c>
      <c r="H14">
        <v>6</v>
      </c>
    </row>
    <row r="15" spans="1:13" x14ac:dyDescent="0.25">
      <c r="A15" s="1" t="s">
        <v>14</v>
      </c>
      <c r="B15" s="1">
        <v>9</v>
      </c>
      <c r="C15" s="1">
        <v>5</v>
      </c>
      <c r="D15" t="s">
        <v>19</v>
      </c>
      <c r="E15" s="9">
        <f>1/B16</f>
        <v>1.1566265060240966</v>
      </c>
      <c r="F15" t="s">
        <v>21</v>
      </c>
      <c r="G15">
        <v>123.6738095238095</v>
      </c>
    </row>
    <row r="16" spans="1:13" x14ac:dyDescent="0.25">
      <c r="A16" s="1" t="s">
        <v>15</v>
      </c>
      <c r="B16" s="1">
        <v>0.86458333333333315</v>
      </c>
      <c r="C16" s="1"/>
      <c r="D16" t="s">
        <v>18</v>
      </c>
      <c r="E16" s="5">
        <f>1/B18</f>
        <v>3.4816586539015248</v>
      </c>
      <c r="F16" t="s">
        <v>22</v>
      </c>
      <c r="G16">
        <v>0</v>
      </c>
    </row>
    <row r="17" spans="1:13" x14ac:dyDescent="0.25">
      <c r="A17" s="1" t="s">
        <v>16</v>
      </c>
      <c r="B17" s="1">
        <v>0.39920415181078095</v>
      </c>
      <c r="C17" s="1"/>
      <c r="F17" t="s">
        <v>14</v>
      </c>
      <c r="G17">
        <v>14</v>
      </c>
    </row>
    <row r="18" spans="1:13" ht="15.75" thickBot="1" x14ac:dyDescent="0.3">
      <c r="A18" s="2" t="s">
        <v>17</v>
      </c>
      <c r="B18" s="2">
        <v>0.28721942597083899</v>
      </c>
      <c r="C18" s="2"/>
      <c r="F18" t="s">
        <v>23</v>
      </c>
      <c r="G18">
        <v>1.28276701373257</v>
      </c>
    </row>
    <row r="19" spans="1:13" x14ac:dyDescent="0.25">
      <c r="A19" s="4"/>
      <c r="B19" s="4"/>
      <c r="C19" s="4"/>
      <c r="F19" t="s">
        <v>24</v>
      </c>
      <c r="G19">
        <v>0.11020250424490745</v>
      </c>
    </row>
    <row r="20" spans="1:13" x14ac:dyDescent="0.25">
      <c r="F20" t="s">
        <v>25</v>
      </c>
      <c r="G20">
        <v>1.7613101357748921</v>
      </c>
    </row>
    <row r="21" spans="1:13" x14ac:dyDescent="0.25">
      <c r="F21" t="s">
        <v>26</v>
      </c>
      <c r="G21">
        <v>0.2204050084898149</v>
      </c>
    </row>
    <row r="22" spans="1:13" x14ac:dyDescent="0.25">
      <c r="F22" t="s">
        <v>27</v>
      </c>
      <c r="G22">
        <v>2.1447866879178044</v>
      </c>
    </row>
    <row r="23" spans="1:13" x14ac:dyDescent="0.25">
      <c r="F23" s="1"/>
      <c r="G23" s="1"/>
      <c r="H23" s="1"/>
    </row>
    <row r="24" spans="1:13" x14ac:dyDescent="0.25">
      <c r="F24" s="1"/>
      <c r="G24" s="1"/>
      <c r="H24" s="1"/>
    </row>
    <row r="26" spans="1:13" x14ac:dyDescent="0.25">
      <c r="A26" t="s">
        <v>31</v>
      </c>
    </row>
    <row r="27" spans="1:13" x14ac:dyDescent="0.25">
      <c r="A27" s="7" t="s">
        <v>32</v>
      </c>
      <c r="B27" s="7">
        <v>0</v>
      </c>
      <c r="C27" s="7">
        <v>2.09</v>
      </c>
      <c r="D27" s="7">
        <v>7.0000000000000007E-2</v>
      </c>
      <c r="E27" s="7">
        <v>0.3</v>
      </c>
      <c r="F27" s="7">
        <v>0</v>
      </c>
      <c r="G27" s="7">
        <v>2.5499999999999998</v>
      </c>
      <c r="H27" s="7">
        <v>1.62</v>
      </c>
      <c r="I27" s="7">
        <v>0</v>
      </c>
      <c r="J27" s="7">
        <v>0</v>
      </c>
      <c r="K27" s="7">
        <v>1.87</v>
      </c>
    </row>
    <row r="28" spans="1:13" x14ac:dyDescent="0.25">
      <c r="A28" s="7" t="s">
        <v>33</v>
      </c>
      <c r="B28" s="7">
        <v>1.37</v>
      </c>
      <c r="C28" s="7">
        <v>0</v>
      </c>
      <c r="D28" s="7">
        <v>0</v>
      </c>
      <c r="E28" s="7">
        <v>0.1</v>
      </c>
      <c r="F28" s="7">
        <v>0.44</v>
      </c>
      <c r="G28" s="7">
        <v>0</v>
      </c>
      <c r="H28" s="7">
        <v>1.01</v>
      </c>
      <c r="I28" s="7">
        <v>0.54</v>
      </c>
      <c r="J28" s="7">
        <v>0</v>
      </c>
      <c r="K28" s="7">
        <v>0.62</v>
      </c>
    </row>
    <row r="29" spans="1:13" x14ac:dyDescent="0.25">
      <c r="B29" s="7">
        <f>B27-B28</f>
        <v>-1.37</v>
      </c>
      <c r="C29" s="7">
        <f t="shared" ref="C29:K29" si="0">C27-C28</f>
        <v>2.09</v>
      </c>
      <c r="D29" s="7">
        <f t="shared" si="0"/>
        <v>7.0000000000000007E-2</v>
      </c>
      <c r="E29" s="7">
        <f t="shared" si="0"/>
        <v>0.19999999999999998</v>
      </c>
      <c r="F29" s="7">
        <f t="shared" si="0"/>
        <v>-0.44</v>
      </c>
      <c r="G29" s="7">
        <f t="shared" si="0"/>
        <v>2.5499999999999998</v>
      </c>
      <c r="H29" s="7">
        <f t="shared" si="0"/>
        <v>0.6100000000000001</v>
      </c>
      <c r="I29" s="7">
        <f t="shared" si="0"/>
        <v>-0.54</v>
      </c>
      <c r="J29" s="7">
        <f t="shared" si="0"/>
        <v>0</v>
      </c>
      <c r="K29" s="7">
        <f t="shared" si="0"/>
        <v>1.25</v>
      </c>
    </row>
    <row r="30" spans="1:13" x14ac:dyDescent="0.25">
      <c r="A30" s="6" t="s">
        <v>4</v>
      </c>
      <c r="B30" s="6">
        <v>10</v>
      </c>
      <c r="C30" s="6" t="s">
        <v>5</v>
      </c>
      <c r="D30" s="6">
        <f>AVERAGE(B29:K29)</f>
        <v>0.442</v>
      </c>
      <c r="E30" s="6" t="s">
        <v>6</v>
      </c>
      <c r="F30" s="6">
        <f>_xlfn.VAR.S(B29:K29)</f>
        <v>1.4731733333333332</v>
      </c>
      <c r="G30" s="6" t="s">
        <v>7</v>
      </c>
      <c r="H30" s="6">
        <v>9</v>
      </c>
      <c r="J30" t="s">
        <v>8</v>
      </c>
      <c r="K30" s="10">
        <f>ABS(D30)/SQRT(F30/B30)</f>
        <v>1.1515832647445461</v>
      </c>
      <c r="L30" t="s">
        <v>9</v>
      </c>
      <c r="M30" s="8">
        <f>_xlfn.T.INV.2T(C1,H30)</f>
        <v>2.2621571627982053</v>
      </c>
    </row>
    <row r="31" spans="1:13" x14ac:dyDescent="0.25">
      <c r="A31" s="12"/>
      <c r="B31" s="12"/>
      <c r="C31" s="12"/>
      <c r="D31" s="12"/>
      <c r="E31" s="12"/>
      <c r="F31" s="12"/>
      <c r="G31" s="12"/>
      <c r="H31" s="12"/>
    </row>
    <row r="32" spans="1:13" x14ac:dyDescent="0.25">
      <c r="A32" s="12"/>
      <c r="B32" s="12"/>
      <c r="C32" s="12"/>
      <c r="D32" s="12"/>
      <c r="E32" s="12"/>
      <c r="F32" s="12"/>
      <c r="G32" s="12"/>
      <c r="H32" s="12"/>
    </row>
    <row r="34" spans="1:3" x14ac:dyDescent="0.25">
      <c r="A34" t="s">
        <v>40</v>
      </c>
    </row>
    <row r="35" spans="1:3" ht="15.75" thickBot="1" x14ac:dyDescent="0.3"/>
    <row r="36" spans="1:3" x14ac:dyDescent="0.25">
      <c r="A36" s="3"/>
      <c r="B36" s="3" t="s">
        <v>32</v>
      </c>
      <c r="C36" s="3" t="s">
        <v>33</v>
      </c>
    </row>
    <row r="37" spans="1:3" x14ac:dyDescent="0.25">
      <c r="A37" s="1" t="s">
        <v>11</v>
      </c>
      <c r="B37" s="1">
        <v>0.85</v>
      </c>
      <c r="C37" s="1">
        <v>0.40800000000000003</v>
      </c>
    </row>
    <row r="38" spans="1:3" x14ac:dyDescent="0.25">
      <c r="A38" s="1" t="s">
        <v>12</v>
      </c>
      <c r="B38" s="1">
        <v>1.0957555555555556</v>
      </c>
      <c r="C38" s="1">
        <v>0.23466222222222222</v>
      </c>
    </row>
    <row r="39" spans="1:3" x14ac:dyDescent="0.25">
      <c r="A39" s="1" t="s">
        <v>13</v>
      </c>
      <c r="B39" s="1">
        <v>10</v>
      </c>
      <c r="C39" s="1">
        <v>10</v>
      </c>
    </row>
    <row r="40" spans="1:3" x14ac:dyDescent="0.25">
      <c r="A40" s="1" t="s">
        <v>41</v>
      </c>
      <c r="B40" s="1">
        <v>-0.14076172899057196</v>
      </c>
      <c r="C40" s="1"/>
    </row>
    <row r="41" spans="1:3" x14ac:dyDescent="0.25">
      <c r="A41" s="1" t="s">
        <v>22</v>
      </c>
      <c r="B41" s="1">
        <v>0</v>
      </c>
      <c r="C41" s="1"/>
    </row>
    <row r="42" spans="1:3" x14ac:dyDescent="0.25">
      <c r="A42" s="1" t="s">
        <v>14</v>
      </c>
      <c r="B42" s="1">
        <v>9</v>
      </c>
      <c r="C42" s="1"/>
    </row>
    <row r="43" spans="1:3" x14ac:dyDescent="0.25">
      <c r="A43" s="1" t="s">
        <v>23</v>
      </c>
      <c r="B43" s="13">
        <v>1.1515832647445461</v>
      </c>
      <c r="C43" s="1"/>
    </row>
    <row r="44" spans="1:3" x14ac:dyDescent="0.25">
      <c r="A44" s="1" t="s">
        <v>24</v>
      </c>
      <c r="B44" s="1">
        <v>0.13958254663411929</v>
      </c>
      <c r="C44" s="1"/>
    </row>
    <row r="45" spans="1:3" x14ac:dyDescent="0.25">
      <c r="A45" s="1" t="s">
        <v>25</v>
      </c>
      <c r="B45" s="1">
        <v>1.8331129326562374</v>
      </c>
      <c r="C45" s="1"/>
    </row>
    <row r="46" spans="1:3" x14ac:dyDescent="0.25">
      <c r="A46" s="1" t="s">
        <v>26</v>
      </c>
      <c r="B46" s="1">
        <v>0.27916509326823857</v>
      </c>
      <c r="C46" s="1"/>
    </row>
    <row r="47" spans="1:3" ht="15.75" thickBot="1" x14ac:dyDescent="0.3">
      <c r="A47" s="2" t="s">
        <v>27</v>
      </c>
      <c r="B47" s="14">
        <v>2.2621571627982053</v>
      </c>
      <c r="C47" s="2"/>
    </row>
    <row r="52" spans="1:10" x14ac:dyDescent="0.25">
      <c r="A52" t="s">
        <v>34</v>
      </c>
    </row>
    <row r="53" spans="1:10" x14ac:dyDescent="0.25">
      <c r="A53" s="7" t="s">
        <v>35</v>
      </c>
      <c r="B53" s="7" t="s">
        <v>29</v>
      </c>
      <c r="C53" s="7" t="s">
        <v>38</v>
      </c>
      <c r="D53" s="7" t="s">
        <v>39</v>
      </c>
      <c r="E53" s="11" t="s">
        <v>30</v>
      </c>
    </row>
    <row r="54" spans="1:10" x14ac:dyDescent="0.25">
      <c r="A54" s="7" t="s">
        <v>36</v>
      </c>
      <c r="B54" s="7">
        <v>171.8</v>
      </c>
      <c r="C54" s="7">
        <v>39.0625</v>
      </c>
      <c r="D54" s="7">
        <v>1884</v>
      </c>
      <c r="E54" s="7">
        <f>D54-1</f>
        <v>1883</v>
      </c>
      <c r="G54" t="s">
        <v>19</v>
      </c>
      <c r="H54" s="9">
        <f>C54/C55</f>
        <v>1.1071007493566416</v>
      </c>
      <c r="I54" t="s">
        <v>18</v>
      </c>
      <c r="J54" s="5">
        <f>_xlfn.F.INV.RT(C1/2,E54,E55)</f>
        <v>1.0926097673916619</v>
      </c>
    </row>
    <row r="55" spans="1:10" x14ac:dyDescent="0.25">
      <c r="A55" s="7" t="s">
        <v>37</v>
      </c>
      <c r="B55" s="7">
        <v>172.58</v>
      </c>
      <c r="C55" s="7">
        <v>35.2836</v>
      </c>
      <c r="D55" s="7">
        <v>2037</v>
      </c>
      <c r="E55" s="7">
        <f>D55-1</f>
        <v>2036</v>
      </c>
      <c r="G55" t="s">
        <v>8</v>
      </c>
      <c r="H55" s="10">
        <f>B56/SQRT(C54/D54+C55/D55)</f>
        <v>3.9984143044059697</v>
      </c>
      <c r="I55" t="s">
        <v>9</v>
      </c>
      <c r="J55" s="8">
        <f>_xlfn.T.INV.2T(2*C1,G58)</f>
        <v>1.6452489933896586</v>
      </c>
    </row>
    <row r="56" spans="1:10" x14ac:dyDescent="0.25">
      <c r="B56">
        <f>B55-B54</f>
        <v>0.78000000000000114</v>
      </c>
    </row>
    <row r="57" spans="1:10" x14ac:dyDescent="0.25">
      <c r="A57" s="12"/>
      <c r="B57" s="12"/>
      <c r="C57" s="12"/>
      <c r="D57" s="12"/>
      <c r="E57" s="12"/>
      <c r="F57" s="12"/>
      <c r="G57" s="12"/>
      <c r="H57" s="12"/>
    </row>
    <row r="58" spans="1:10" x14ac:dyDescent="0.25">
      <c r="A58" s="12"/>
      <c r="B58" s="12"/>
      <c r="C58" s="12"/>
      <c r="D58" s="12"/>
      <c r="E58" s="12"/>
      <c r="F58" s="12" t="s">
        <v>7</v>
      </c>
      <c r="G58" s="12">
        <f>((C54/D54+C55/D55)^2)/(((C54/D54)^2)/E54+((C55/D55)^2)/E55)</f>
        <v>3855.0370925654624</v>
      </c>
      <c r="H58" s="12"/>
    </row>
    <row r="62" spans="1:10" x14ac:dyDescent="0.25">
      <c r="D62">
        <f>C54/D54</f>
        <v>2.0733811040339702E-2</v>
      </c>
      <c r="E62">
        <f>D62^2</f>
        <v>4.2989092025651248E-4</v>
      </c>
      <c r="F62">
        <f>E62/E54</f>
        <v>2.2830107289246546E-7</v>
      </c>
    </row>
    <row r="63" spans="1:10" x14ac:dyDescent="0.25">
      <c r="D63">
        <f>C55/D55</f>
        <v>1.7321354933726069E-2</v>
      </c>
      <c r="E63">
        <f>D63^2</f>
        <v>3.0002933674011642E-4</v>
      </c>
      <c r="I63" t="s">
        <v>42</v>
      </c>
    </row>
    <row r="64" spans="1:10" x14ac:dyDescent="0.25">
      <c r="I64">
        <v>1.4999999999999999E-7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2023-12-20T00:17:20Z</dcterms:created>
  <dcterms:modified xsi:type="dcterms:W3CDTF">2023-12-20T19:23:47Z</dcterms:modified>
</cp:coreProperties>
</file>