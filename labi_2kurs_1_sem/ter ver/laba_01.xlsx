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bi 2kurs 1 sem\ter ver\"/>
    </mc:Choice>
  </mc:AlternateContent>
  <bookViews>
    <workbookView xWindow="0" yWindow="0" windowWidth="28800" windowHeight="128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  <c r="H37" i="1" s="1"/>
  <c r="H36" i="1"/>
  <c r="I36" i="1"/>
  <c r="I29" i="1"/>
  <c r="I30" i="1"/>
  <c r="I31" i="1"/>
  <c r="I32" i="1"/>
  <c r="I33" i="1"/>
  <c r="I28" i="1"/>
  <c r="H29" i="1"/>
  <c r="H30" i="1"/>
  <c r="H31" i="1"/>
  <c r="H32" i="1"/>
  <c r="H33" i="1"/>
  <c r="H28" i="1"/>
  <c r="G29" i="1"/>
  <c r="G30" i="1"/>
  <c r="G31" i="1"/>
  <c r="G32" i="1"/>
  <c r="G33" i="1"/>
  <c r="G28" i="1"/>
  <c r="F29" i="1"/>
  <c r="F30" i="1"/>
  <c r="F31" i="1"/>
  <c r="F32" i="1"/>
  <c r="F33" i="1"/>
  <c r="F28" i="1"/>
  <c r="E29" i="1"/>
  <c r="E30" i="1"/>
  <c r="E31" i="1"/>
  <c r="E32" i="1"/>
  <c r="E33" i="1"/>
  <c r="E28" i="1"/>
  <c r="E36" i="1" s="1"/>
  <c r="D33" i="1"/>
  <c r="D28" i="1"/>
  <c r="D29" i="1"/>
  <c r="D30" i="1"/>
  <c r="D31" i="1"/>
  <c r="D32" i="1"/>
  <c r="C32" i="1"/>
  <c r="C33" i="1"/>
  <c r="B24" i="1"/>
  <c r="A28" i="1"/>
  <c r="C28" i="1"/>
  <c r="B28" i="1"/>
  <c r="F17" i="1"/>
  <c r="F18" i="1"/>
  <c r="E17" i="1"/>
  <c r="E18" i="1"/>
  <c r="D13" i="1"/>
  <c r="D18" i="1"/>
  <c r="D17" i="1"/>
  <c r="C18" i="1"/>
  <c r="C17" i="1"/>
  <c r="B17" i="1"/>
  <c r="F13" i="1"/>
  <c r="B13" i="1"/>
  <c r="A17" i="1" s="1"/>
  <c r="E12" i="1"/>
  <c r="D36" i="1" l="1"/>
  <c r="D14" i="1"/>
  <c r="H14" i="1" s="1"/>
  <c r="A18" i="1"/>
  <c r="B18" i="1" s="1"/>
  <c r="A19" i="1" s="1"/>
  <c r="B19" i="1" l="1"/>
  <c r="D19" i="1"/>
  <c r="E19" i="1" s="1"/>
  <c r="F19" i="1" s="1"/>
  <c r="A29" i="1"/>
  <c r="A20" i="1" l="1"/>
  <c r="B29" i="1"/>
  <c r="C29" i="1" s="1"/>
  <c r="C19" i="1"/>
  <c r="B20" i="1" l="1"/>
  <c r="D20" i="1"/>
  <c r="E20" i="1" s="1"/>
  <c r="F20" i="1" s="1"/>
  <c r="A30" i="1"/>
  <c r="A21" i="1" l="1"/>
  <c r="B30" i="1"/>
  <c r="C20" i="1"/>
  <c r="A31" i="1" l="1"/>
  <c r="B21" i="1"/>
  <c r="C30" i="1"/>
  <c r="A22" i="1" l="1"/>
  <c r="B31" i="1"/>
  <c r="C21" i="1"/>
  <c r="D21" i="1"/>
  <c r="E21" i="1" s="1"/>
  <c r="F21" i="1" s="1"/>
  <c r="A32" i="1" l="1"/>
  <c r="B22" i="1"/>
  <c r="C31" i="1"/>
  <c r="A23" i="1" l="1"/>
  <c r="C22" i="1"/>
  <c r="B32" i="1"/>
  <c r="D22" i="1"/>
  <c r="E22" i="1" s="1"/>
  <c r="F22" i="1" s="1"/>
  <c r="A33" i="1" l="1"/>
  <c r="C36" i="1" s="1"/>
  <c r="B23" i="1"/>
  <c r="A24" i="1" l="1"/>
  <c r="C23" i="1"/>
  <c r="D23" i="1"/>
  <c r="E23" i="1" s="1"/>
  <c r="F23" i="1" s="1"/>
  <c r="C24" i="1" l="1"/>
  <c r="D24" i="1"/>
  <c r="E24" i="1" s="1"/>
  <c r="F24" i="1" s="1"/>
  <c r="H17" i="1" l="1"/>
  <c r="H19" i="1" l="1"/>
  <c r="H20" i="1" s="1"/>
  <c r="H21" i="1" s="1"/>
</calcChain>
</file>

<file path=xl/sharedStrings.xml><?xml version="1.0" encoding="utf-8"?>
<sst xmlns="http://schemas.openxmlformats.org/spreadsheetml/2006/main" count="36" uniqueCount="33">
  <si>
    <t>Исходные данные:</t>
  </si>
  <si>
    <t>Кол-во интервалов</t>
  </si>
  <si>
    <t>k=</t>
  </si>
  <si>
    <t>min=</t>
  </si>
  <si>
    <t>max=</t>
  </si>
  <si>
    <t>W=</t>
  </si>
  <si>
    <t>Длина интервалов</t>
  </si>
  <si>
    <t>округляем</t>
  </si>
  <si>
    <t>h=</t>
  </si>
  <si>
    <t>Интервальный статический ряд:</t>
  </si>
  <si>
    <t>[xi;</t>
  </si>
  <si>
    <t>xi+1)</t>
  </si>
  <si>
    <t>xi*</t>
  </si>
  <si>
    <t>ni</t>
  </si>
  <si>
    <t>ni/n</t>
  </si>
  <si>
    <t>ni/n/h</t>
  </si>
  <si>
    <t>Db=</t>
  </si>
  <si>
    <t>Выборочное среднее:</t>
  </si>
  <si>
    <t>x-cp=</t>
  </si>
  <si>
    <t>Выбочная дисперсия:</t>
  </si>
  <si>
    <t>s2=</t>
  </si>
  <si>
    <t>s=</t>
  </si>
  <si>
    <t>Проверка гипотезы о законе распределения по критерию пирсона</t>
  </si>
  <si>
    <t>pi</t>
  </si>
  <si>
    <t>n*pi</t>
  </si>
  <si>
    <t>ni-npi</t>
  </si>
  <si>
    <t>(ni-npi)^2</t>
  </si>
  <si>
    <t>(ni-npi)^2/npi</t>
  </si>
  <si>
    <t>ni^2/npi</t>
  </si>
  <si>
    <t>Суммы</t>
  </si>
  <si>
    <t>х2расч=</t>
  </si>
  <si>
    <t>k-r-1=</t>
  </si>
  <si>
    <t>x2крит=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</si>
</sst>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1" fillId="0" borderId="0" xfId="0" applyFont="1"/>
    <xf numFmtId="0" fontId="0" fillId="0" borderId="0" xfId="0" applyBorder="1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1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  <a:r>
              <a:rPr lang="ru-RU" baseline="0"/>
              <a:t> относительных частот</a:t>
            </a:r>
          </a:p>
        </c:rich>
      </c:tx>
      <c:layout>
        <c:manualLayout>
          <c:xMode val="edge"/>
          <c:yMode val="edge"/>
          <c:x val="0.18511430470982812"/>
          <c:y val="4.58891289737456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Лист1!$C$17:$C$24</c:f>
              <c:numCache>
                <c:formatCode>General</c:formatCode>
                <c:ptCount val="8"/>
                <c:pt idx="0">
                  <c:v>24</c:v>
                </c:pt>
                <c:pt idx="1">
                  <c:v>26</c:v>
                </c:pt>
                <c:pt idx="2">
                  <c:v>28</c:v>
                </c:pt>
                <c:pt idx="3">
                  <c:v>30</c:v>
                </c:pt>
                <c:pt idx="4">
                  <c:v>32</c:v>
                </c:pt>
                <c:pt idx="5">
                  <c:v>34</c:v>
                </c:pt>
                <c:pt idx="6">
                  <c:v>36</c:v>
                </c:pt>
                <c:pt idx="7">
                  <c:v>38.5</c:v>
                </c:pt>
              </c:numCache>
            </c:numRef>
          </c:cat>
          <c:val>
            <c:numRef>
              <c:f>Лист1!$F$17:$F$24</c:f>
              <c:numCache>
                <c:formatCode>General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7.4999999999999997E-2</c:v>
                </c:pt>
                <c:pt idx="3">
                  <c:v>0.14499999999999999</c:v>
                </c:pt>
                <c:pt idx="4">
                  <c:v>0.1</c:v>
                </c:pt>
                <c:pt idx="5">
                  <c:v>7.4999999999999997E-2</c:v>
                </c:pt>
                <c:pt idx="6">
                  <c:v>0.02</c:v>
                </c:pt>
                <c:pt idx="7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3-4BFB-BA82-2087E1CB3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750659263"/>
        <c:axId val="750659679"/>
      </c:barChart>
      <c:catAx>
        <c:axId val="75065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0659679"/>
        <c:crosses val="autoZero"/>
        <c:auto val="1"/>
        <c:lblAlgn val="ctr"/>
        <c:lblOffset val="100"/>
        <c:noMultiLvlLbl val="0"/>
      </c:catAx>
      <c:valAx>
        <c:axId val="7506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065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11</xdr:row>
      <xdr:rowOff>28576</xdr:rowOff>
    </xdr:from>
    <xdr:to>
      <xdr:col>16</xdr:col>
      <xdr:colOff>304801</xdr:colOff>
      <xdr:row>24</xdr:row>
      <xdr:rowOff>42862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R19" sqref="R19"/>
    </sheetView>
  </sheetViews>
  <sheetFormatPr defaultRowHeight="15" x14ac:dyDescent="0.25"/>
  <cols>
    <col min="6" max="6" width="10.7109375" customWidth="1"/>
  </cols>
  <sheetData>
    <row r="1" spans="1:10" x14ac:dyDescent="0.25">
      <c r="A1" s="2" t="s">
        <v>0</v>
      </c>
    </row>
    <row r="2" spans="1:10" x14ac:dyDescent="0.25">
      <c r="A2" s="1">
        <v>25</v>
      </c>
      <c r="B2" s="1">
        <v>28</v>
      </c>
      <c r="C2" s="1">
        <v>29</v>
      </c>
      <c r="D2" s="1">
        <v>33</v>
      </c>
      <c r="E2" s="1">
        <v>33</v>
      </c>
      <c r="F2" s="1">
        <v>29</v>
      </c>
      <c r="G2" s="1">
        <v>28</v>
      </c>
      <c r="H2" s="1">
        <v>36</v>
      </c>
      <c r="I2" s="1">
        <v>39</v>
      </c>
      <c r="J2" s="1">
        <v>30</v>
      </c>
    </row>
    <row r="3" spans="1:10" x14ac:dyDescent="0.25">
      <c r="A3" s="1">
        <v>32</v>
      </c>
      <c r="B3" s="1">
        <v>26</v>
      </c>
      <c r="C3" s="1">
        <v>29</v>
      </c>
      <c r="D3" s="1">
        <v>29</v>
      </c>
      <c r="E3" s="1">
        <v>29</v>
      </c>
      <c r="F3" s="1">
        <v>31</v>
      </c>
      <c r="G3" s="1">
        <v>32</v>
      </c>
      <c r="H3" s="1">
        <v>26</v>
      </c>
      <c r="I3" s="1">
        <v>31</v>
      </c>
      <c r="J3" s="1">
        <v>32</v>
      </c>
    </row>
    <row r="4" spans="1:10" x14ac:dyDescent="0.25">
      <c r="A4" s="1">
        <v>29</v>
      </c>
      <c r="B4" s="1">
        <v>29</v>
      </c>
      <c r="C4" s="1">
        <v>31</v>
      </c>
      <c r="D4" s="1">
        <v>31</v>
      </c>
      <c r="E4" s="1">
        <v>33</v>
      </c>
      <c r="F4" s="1">
        <v>33</v>
      </c>
      <c r="G4" s="1">
        <v>33</v>
      </c>
      <c r="H4" s="1">
        <v>31</v>
      </c>
      <c r="I4" s="1">
        <v>31</v>
      </c>
      <c r="J4" s="1">
        <v>32</v>
      </c>
    </row>
    <row r="5" spans="1:10" x14ac:dyDescent="0.25">
      <c r="A5" s="1">
        <v>31</v>
      </c>
      <c r="B5" s="1">
        <v>26</v>
      </c>
      <c r="C5" s="1">
        <v>28</v>
      </c>
      <c r="D5" s="1">
        <v>29</v>
      </c>
      <c r="E5" s="1">
        <v>33</v>
      </c>
      <c r="F5" s="1">
        <v>28</v>
      </c>
      <c r="G5" s="1">
        <v>29</v>
      </c>
      <c r="H5" s="1">
        <v>26</v>
      </c>
      <c r="I5" s="1">
        <v>29</v>
      </c>
      <c r="J5" s="1">
        <v>27</v>
      </c>
    </row>
    <row r="6" spans="1:10" x14ac:dyDescent="0.25">
      <c r="A6" s="1">
        <v>28</v>
      </c>
      <c r="B6" s="1">
        <v>25</v>
      </c>
      <c r="C6" s="1">
        <v>30</v>
      </c>
      <c r="D6" s="1">
        <v>24</v>
      </c>
      <c r="E6" s="1">
        <v>30</v>
      </c>
      <c r="F6" s="1">
        <v>36</v>
      </c>
      <c r="G6" s="1">
        <v>26</v>
      </c>
      <c r="H6" s="1">
        <v>33</v>
      </c>
      <c r="I6" s="1">
        <v>29</v>
      </c>
      <c r="J6" s="1">
        <v>33</v>
      </c>
    </row>
    <row r="7" spans="1:10" x14ac:dyDescent="0.25">
      <c r="A7" s="1">
        <v>33</v>
      </c>
      <c r="B7" s="1">
        <v>28</v>
      </c>
      <c r="C7" s="1">
        <v>27</v>
      </c>
      <c r="D7" s="1">
        <v>30</v>
      </c>
      <c r="E7" s="1">
        <v>26</v>
      </c>
      <c r="F7" s="1">
        <v>32</v>
      </c>
      <c r="G7" s="1">
        <v>23</v>
      </c>
      <c r="H7" s="1">
        <v>28</v>
      </c>
      <c r="I7" s="1">
        <v>26</v>
      </c>
      <c r="J7" s="1">
        <v>25</v>
      </c>
    </row>
    <row r="8" spans="1:10" x14ac:dyDescent="0.25">
      <c r="A8" s="1">
        <v>32</v>
      </c>
      <c r="B8" s="1">
        <v>24</v>
      </c>
      <c r="C8" s="1">
        <v>30</v>
      </c>
      <c r="D8" s="1">
        <v>32</v>
      </c>
      <c r="E8" s="1">
        <v>32</v>
      </c>
      <c r="F8" s="1">
        <v>28</v>
      </c>
      <c r="G8" s="1">
        <v>35</v>
      </c>
      <c r="H8" s="1">
        <v>28</v>
      </c>
      <c r="I8" s="1">
        <v>34</v>
      </c>
      <c r="J8" s="1">
        <v>24</v>
      </c>
    </row>
    <row r="9" spans="1:10" x14ac:dyDescent="0.25">
      <c r="A9" s="1">
        <v>29</v>
      </c>
      <c r="B9" s="1">
        <v>33</v>
      </c>
      <c r="C9" s="1">
        <v>27</v>
      </c>
      <c r="D9" s="1">
        <v>29</v>
      </c>
      <c r="E9" s="1">
        <v>32</v>
      </c>
      <c r="F9" s="1">
        <v>31</v>
      </c>
      <c r="G9" s="1">
        <v>30</v>
      </c>
      <c r="H9" s="1">
        <v>25</v>
      </c>
      <c r="I9" s="1">
        <v>31</v>
      </c>
      <c r="J9" s="1">
        <v>33</v>
      </c>
    </row>
    <row r="10" spans="1:10" x14ac:dyDescent="0.25">
      <c r="A10" s="1">
        <v>30</v>
      </c>
      <c r="B10" s="1">
        <v>34</v>
      </c>
      <c r="C10" s="1">
        <v>34</v>
      </c>
      <c r="D10" s="1">
        <v>33</v>
      </c>
      <c r="E10" s="1">
        <v>32</v>
      </c>
      <c r="F10" s="1">
        <v>27</v>
      </c>
      <c r="G10" s="1">
        <v>28</v>
      </c>
      <c r="H10" s="1">
        <v>26</v>
      </c>
      <c r="I10" s="1">
        <v>36</v>
      </c>
      <c r="J10" s="1">
        <v>30</v>
      </c>
    </row>
    <row r="11" spans="1:10" x14ac:dyDescent="0.25">
      <c r="A11" s="1">
        <v>30</v>
      </c>
      <c r="B11" s="1">
        <v>30</v>
      </c>
      <c r="C11" s="1">
        <v>32</v>
      </c>
      <c r="D11" s="1">
        <v>28</v>
      </c>
      <c r="E11" s="1">
        <v>30</v>
      </c>
      <c r="F11" s="1">
        <v>30</v>
      </c>
      <c r="G11" s="1">
        <v>29</v>
      </c>
      <c r="H11" s="1">
        <v>30</v>
      </c>
      <c r="I11" s="1">
        <v>29</v>
      </c>
      <c r="J11" s="1">
        <v>30</v>
      </c>
    </row>
    <row r="12" spans="1:10" x14ac:dyDescent="0.25">
      <c r="A12" t="s">
        <v>1</v>
      </c>
      <c r="D12" t="s">
        <v>2</v>
      </c>
      <c r="E12">
        <f>ROUND(1+LOG(100,2),0)</f>
        <v>8</v>
      </c>
    </row>
    <row r="13" spans="1:10" x14ac:dyDescent="0.25">
      <c r="A13" t="s">
        <v>3</v>
      </c>
      <c r="B13">
        <f>MIN(A2:J11)</f>
        <v>23</v>
      </c>
      <c r="C13" t="s">
        <v>4</v>
      </c>
      <c r="D13">
        <f>MAX(A2:J11)</f>
        <v>39</v>
      </c>
      <c r="E13" t="s">
        <v>5</v>
      </c>
      <c r="F13">
        <f>D13-B13</f>
        <v>16</v>
      </c>
    </row>
    <row r="14" spans="1:10" x14ac:dyDescent="0.25">
      <c r="A14" t="s">
        <v>6</v>
      </c>
      <c r="D14">
        <f>F13/E12</f>
        <v>2</v>
      </c>
      <c r="E14" t="s">
        <v>7</v>
      </c>
      <c r="G14" t="s">
        <v>8</v>
      </c>
      <c r="H14">
        <f>CEILING(D14,0.1)</f>
        <v>2</v>
      </c>
    </row>
    <row r="15" spans="1:10" x14ac:dyDescent="0.25">
      <c r="A15" s="2" t="s">
        <v>9</v>
      </c>
    </row>
    <row r="16" spans="1:10" x14ac:dyDescent="0.25">
      <c r="A16" s="4" t="s">
        <v>10</v>
      </c>
      <c r="B16" s="4" t="s">
        <v>11</v>
      </c>
      <c r="C16" s="4" t="s">
        <v>12</v>
      </c>
      <c r="D16" s="4" t="s">
        <v>13</v>
      </c>
      <c r="E16" s="4" t="s">
        <v>14</v>
      </c>
      <c r="F16" s="4" t="s">
        <v>15</v>
      </c>
      <c r="G16" t="s">
        <v>17</v>
      </c>
    </row>
    <row r="17" spans="1:9" x14ac:dyDescent="0.25">
      <c r="A17" s="5">
        <f>B13</f>
        <v>23</v>
      </c>
      <c r="B17" s="5">
        <f>A17+$H$14</f>
        <v>25</v>
      </c>
      <c r="C17" s="5">
        <f>(B17+A17)/2</f>
        <v>24</v>
      </c>
      <c r="D17" s="5">
        <f>COUNTIFS($A$2:$J$11,"&gt;="&amp;A17,$A$2:$J$11,"&lt;"&amp;B17)</f>
        <v>4</v>
      </c>
      <c r="E17" s="5">
        <f>D17/100</f>
        <v>0.04</v>
      </c>
      <c r="F17" s="5">
        <f>E17/$H$14</f>
        <v>0.02</v>
      </c>
      <c r="G17" t="s">
        <v>18</v>
      </c>
      <c r="H17">
        <f>SUMPRODUCT(C17:C24,D17:D24)/100</f>
        <v>30.305</v>
      </c>
    </row>
    <row r="18" spans="1:9" x14ac:dyDescent="0.25">
      <c r="A18" s="5">
        <f>B17</f>
        <v>25</v>
      </c>
      <c r="B18" s="5">
        <f>A18+$H$14</f>
        <v>27</v>
      </c>
      <c r="C18" s="5">
        <f t="shared" ref="C18:C24" si="0">(B18+A18)/2</f>
        <v>26</v>
      </c>
      <c r="D18" s="5">
        <f>COUNTIFS($A$2:$J$11,"&gt;="&amp;A18,$A$2:$J$11,"&lt;"&amp;B18)</f>
        <v>12</v>
      </c>
      <c r="E18" s="5">
        <f t="shared" ref="E18:E24" si="1">D18/100</f>
        <v>0.12</v>
      </c>
      <c r="F18" s="5">
        <f t="shared" ref="F18:F24" si="2">E18/$H$14</f>
        <v>0.06</v>
      </c>
      <c r="G18" t="s">
        <v>19</v>
      </c>
    </row>
    <row r="19" spans="1:9" x14ac:dyDescent="0.25">
      <c r="A19" s="5">
        <f t="shared" ref="A19:A24" si="3">B18</f>
        <v>27</v>
      </c>
      <c r="B19" s="5">
        <f t="shared" ref="B19:B24" si="4">A19+$H$14</f>
        <v>29</v>
      </c>
      <c r="C19" s="5">
        <f t="shared" si="0"/>
        <v>28</v>
      </c>
      <c r="D19" s="5">
        <f t="shared" ref="D18:D24" si="5">COUNTIFS($A$2:$J$11,"&gt;="&amp;A19,$A$2:$J$11,"&lt;"&amp;B19)</f>
        <v>15</v>
      </c>
      <c r="E19" s="5">
        <f t="shared" si="1"/>
        <v>0.15</v>
      </c>
      <c r="F19" s="5">
        <f t="shared" si="2"/>
        <v>7.4999999999999997E-2</v>
      </c>
      <c r="G19" t="s">
        <v>16</v>
      </c>
      <c r="H19">
        <f>SUMPRODUCT(C17:C24,C17:C24,D17:D24)/100-H17*H17</f>
        <v>9.2294749999999794</v>
      </c>
    </row>
    <row r="20" spans="1:9" x14ac:dyDescent="0.25">
      <c r="A20" s="5">
        <f t="shared" si="3"/>
        <v>29</v>
      </c>
      <c r="B20" s="5">
        <f t="shared" si="4"/>
        <v>31</v>
      </c>
      <c r="C20" s="5">
        <f t="shared" si="0"/>
        <v>30</v>
      </c>
      <c r="D20" s="5">
        <f t="shared" si="5"/>
        <v>29</v>
      </c>
      <c r="E20" s="5">
        <f t="shared" si="1"/>
        <v>0.28999999999999998</v>
      </c>
      <c r="F20" s="5">
        <f t="shared" si="2"/>
        <v>0.14499999999999999</v>
      </c>
      <c r="G20" t="s">
        <v>20</v>
      </c>
      <c r="H20">
        <f>H19*100/99</f>
        <v>9.3227020202019997</v>
      </c>
    </row>
    <row r="21" spans="1:9" x14ac:dyDescent="0.25">
      <c r="A21" s="5">
        <f t="shared" si="3"/>
        <v>31</v>
      </c>
      <c r="B21" s="5">
        <f t="shared" si="4"/>
        <v>33</v>
      </c>
      <c r="C21" s="5">
        <f t="shared" si="0"/>
        <v>32</v>
      </c>
      <c r="D21" s="5">
        <f t="shared" si="5"/>
        <v>20</v>
      </c>
      <c r="E21" s="5">
        <f t="shared" si="1"/>
        <v>0.2</v>
      </c>
      <c r="F21" s="5">
        <f t="shared" si="2"/>
        <v>0.1</v>
      </c>
      <c r="G21" t="s">
        <v>21</v>
      </c>
      <c r="H21">
        <f>SQRT(H20)</f>
        <v>3.0533100104971327</v>
      </c>
    </row>
    <row r="22" spans="1:9" x14ac:dyDescent="0.25">
      <c r="A22" s="5">
        <f t="shared" si="3"/>
        <v>33</v>
      </c>
      <c r="B22" s="5">
        <f t="shared" si="4"/>
        <v>35</v>
      </c>
      <c r="C22" s="5">
        <f t="shared" si="0"/>
        <v>34</v>
      </c>
      <c r="D22" s="5">
        <f t="shared" si="5"/>
        <v>15</v>
      </c>
      <c r="E22" s="5">
        <f t="shared" si="1"/>
        <v>0.15</v>
      </c>
      <c r="F22" s="5">
        <f t="shared" si="2"/>
        <v>7.4999999999999997E-2</v>
      </c>
    </row>
    <row r="23" spans="1:9" x14ac:dyDescent="0.25">
      <c r="A23" s="5">
        <f t="shared" si="3"/>
        <v>35</v>
      </c>
      <c r="B23" s="5">
        <f>A23+$H$14</f>
        <v>37</v>
      </c>
      <c r="C23" s="5">
        <f>(B23+A23)/2</f>
        <v>36</v>
      </c>
      <c r="D23" s="5">
        <f>COUNTIFS($A$2:$J$11,"&gt;="&amp;A23,$A$2:$J$11,"&lt;"&amp;B23)</f>
        <v>4</v>
      </c>
      <c r="E23" s="5">
        <f t="shared" si="1"/>
        <v>0.04</v>
      </c>
      <c r="F23" s="5">
        <f t="shared" si="2"/>
        <v>0.02</v>
      </c>
    </row>
    <row r="24" spans="1:9" x14ac:dyDescent="0.25">
      <c r="A24" s="5">
        <f>B23</f>
        <v>37</v>
      </c>
      <c r="B24" s="5">
        <f>A24+$H$14</f>
        <v>39</v>
      </c>
      <c r="C24" s="5">
        <f>(B33+A24)/2</f>
        <v>38.5</v>
      </c>
      <c r="D24" s="5">
        <f>COUNTIFS($A$2:$J$11,"&gt;="&amp;A24,$A$2:$J$11,"&lt;="&amp;B33)</f>
        <v>1</v>
      </c>
      <c r="E24" s="5">
        <f t="shared" si="1"/>
        <v>0.01</v>
      </c>
      <c r="F24" s="5">
        <f t="shared" si="2"/>
        <v>5.0000000000000001E-3</v>
      </c>
    </row>
    <row r="26" spans="1:9" x14ac:dyDescent="0.25">
      <c r="A26" s="2" t="s">
        <v>22</v>
      </c>
    </row>
    <row r="27" spans="1:9" x14ac:dyDescent="0.25">
      <c r="A27" s="4" t="s">
        <v>10</v>
      </c>
      <c r="B27" s="4" t="s">
        <v>11</v>
      </c>
      <c r="C27" s="4" t="s">
        <v>13</v>
      </c>
      <c r="D27" s="4" t="s">
        <v>23</v>
      </c>
      <c r="E27" s="4" t="s">
        <v>24</v>
      </c>
      <c r="F27" s="4" t="s">
        <v>25</v>
      </c>
      <c r="G27" s="4" t="s">
        <v>26</v>
      </c>
      <c r="H27" s="4" t="s">
        <v>27</v>
      </c>
      <c r="I27" s="4" t="s">
        <v>28</v>
      </c>
    </row>
    <row r="28" spans="1:9" x14ac:dyDescent="0.25">
      <c r="A28" s="5">
        <f>A17</f>
        <v>23</v>
      </c>
      <c r="B28" s="5">
        <f>B18</f>
        <v>27</v>
      </c>
      <c r="C28" s="5">
        <f>COUNTIFS($A$2:$J$11,"&gt;="&amp;A28,$A$2:$J$11,"&lt;"&amp;B28)</f>
        <v>16</v>
      </c>
      <c r="D28" s="5">
        <f>_xlfn.NORM.DIST(B28,$H$17,$H$21,TRUE)</f>
        <v>0.13953034137198264</v>
      </c>
      <c r="E28" s="5">
        <f>100*D28</f>
        <v>13.953034137198264</v>
      </c>
      <c r="F28" s="5">
        <f>C28-E28</f>
        <v>2.046965862801736</v>
      </c>
      <c r="G28" s="5">
        <f>F28*F28</f>
        <v>4.190069243475655</v>
      </c>
      <c r="H28" s="5">
        <f>G28/E28</f>
        <v>0.30029807153593124</v>
      </c>
      <c r="I28" s="5">
        <f>(C28*C28)/E28</f>
        <v>18.347263934337668</v>
      </c>
    </row>
    <row r="29" spans="1:9" x14ac:dyDescent="0.25">
      <c r="A29" s="5">
        <f>A19</f>
        <v>27</v>
      </c>
      <c r="B29" s="5">
        <f t="shared" ref="B29:B34" si="6">B19</f>
        <v>29</v>
      </c>
      <c r="C29" s="5">
        <f t="shared" ref="C29:C35" si="7">COUNTIFS($A$2:$J$11,"&gt;="&amp;A29,$A$2:$J$11,"&lt;"&amp;B29)</f>
        <v>15</v>
      </c>
      <c r="D29" s="5">
        <f t="shared" ref="D29:D33" si="8">_xlfn.NORM.DIST(B29,$H$17,$H$21,TRUE)- _xlfn.NORM.DIST(A29,$H$17,$H$21,TRUE)</f>
        <v>0.19501183757279536</v>
      </c>
      <c r="E29" s="5">
        <f t="shared" ref="E29:E33" si="9">100*D29</f>
        <v>19.501183757279534</v>
      </c>
      <c r="F29" s="5">
        <f t="shared" ref="F29:F33" si="10">C29-E29</f>
        <v>-4.5011837572795343</v>
      </c>
      <c r="G29" s="5">
        <f t="shared" ref="G29:G33" si="11">F29*F29</f>
        <v>20.260655216797105</v>
      </c>
      <c r="H29" s="5">
        <f t="shared" ref="H29:H33" si="12">G29/E29</f>
        <v>1.0389448901651455</v>
      </c>
      <c r="I29" s="5">
        <f t="shared" ref="I29:I33" si="13">(C29*C29)/E29</f>
        <v>11.537761132885612</v>
      </c>
    </row>
    <row r="30" spans="1:9" x14ac:dyDescent="0.25">
      <c r="A30" s="5">
        <f t="shared" ref="A30:A34" si="14">A20</f>
        <v>29</v>
      </c>
      <c r="B30" s="5">
        <f t="shared" si="6"/>
        <v>31</v>
      </c>
      <c r="C30" s="5">
        <f t="shared" si="7"/>
        <v>29</v>
      </c>
      <c r="D30" s="5">
        <f t="shared" si="8"/>
        <v>0.25548769574944674</v>
      </c>
      <c r="E30" s="5">
        <f t="shared" si="9"/>
        <v>25.548769574944675</v>
      </c>
      <c r="F30" s="5">
        <f t="shared" si="10"/>
        <v>3.451230425055325</v>
      </c>
      <c r="G30" s="5">
        <f t="shared" si="11"/>
        <v>11.910991446827559</v>
      </c>
      <c r="H30" s="5">
        <f t="shared" si="12"/>
        <v>0.46620606960690991</v>
      </c>
      <c r="I30" s="5">
        <f t="shared" si="13"/>
        <v>32.917436494662233</v>
      </c>
    </row>
    <row r="31" spans="1:9" x14ac:dyDescent="0.25">
      <c r="A31" s="5">
        <f t="shared" si="14"/>
        <v>31</v>
      </c>
      <c r="B31" s="5">
        <f t="shared" si="6"/>
        <v>33</v>
      </c>
      <c r="C31" s="5">
        <f t="shared" si="7"/>
        <v>20</v>
      </c>
      <c r="D31" s="5">
        <f t="shared" si="8"/>
        <v>0.22125706175642523</v>
      </c>
      <c r="E31" s="5">
        <f t="shared" si="9"/>
        <v>22.125706175642524</v>
      </c>
      <c r="F31" s="5">
        <f t="shared" si="10"/>
        <v>-2.1257061756425237</v>
      </c>
      <c r="G31" s="5">
        <f t="shared" si="11"/>
        <v>4.5186267451647639</v>
      </c>
      <c r="H31" s="5">
        <f t="shared" si="12"/>
        <v>0.20422519892898036</v>
      </c>
      <c r="I31" s="5">
        <f t="shared" si="13"/>
        <v>18.078519023286457</v>
      </c>
    </row>
    <row r="32" spans="1:9" x14ac:dyDescent="0.25">
      <c r="A32" s="5">
        <f t="shared" si="14"/>
        <v>33</v>
      </c>
      <c r="B32" s="5">
        <f t="shared" si="6"/>
        <v>35</v>
      </c>
      <c r="C32" s="5">
        <f t="shared" si="7"/>
        <v>15</v>
      </c>
      <c r="D32" s="5">
        <f t="shared" si="8"/>
        <v>0.12664907519472957</v>
      </c>
      <c r="E32" s="5">
        <f t="shared" si="9"/>
        <v>12.664907519472957</v>
      </c>
      <c r="F32" s="5">
        <f t="shared" si="10"/>
        <v>2.3350924805270434</v>
      </c>
      <c r="G32" s="5">
        <f t="shared" si="11"/>
        <v>5.4526568926139412</v>
      </c>
      <c r="H32" s="5">
        <f t="shared" si="12"/>
        <v>0.43053270497476565</v>
      </c>
      <c r="I32" s="5">
        <f t="shared" si="13"/>
        <v>17.765625185501808</v>
      </c>
    </row>
    <row r="33" spans="1:9" x14ac:dyDescent="0.25">
      <c r="A33" s="6">
        <f t="shared" si="14"/>
        <v>35</v>
      </c>
      <c r="B33" s="5">
        <v>40</v>
      </c>
      <c r="C33" s="5">
        <f t="shared" si="7"/>
        <v>5</v>
      </c>
      <c r="D33" s="5">
        <f>1-_xlfn.NORM.DIST(A33,$H$17,$H$21,TRUE)</f>
        <v>6.2063988354620458E-2</v>
      </c>
      <c r="E33" s="5">
        <f t="shared" si="9"/>
        <v>6.2063988354620463</v>
      </c>
      <c r="F33" s="5">
        <f t="shared" si="10"/>
        <v>-1.2063988354620463</v>
      </c>
      <c r="G33" s="5">
        <f t="shared" si="11"/>
        <v>1.4553981502041815</v>
      </c>
      <c r="H33" s="5">
        <f t="shared" si="12"/>
        <v>0.23449961705463485</v>
      </c>
      <c r="I33" s="5">
        <f t="shared" si="13"/>
        <v>4.0281007815925882</v>
      </c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3"/>
      <c r="B35" s="8"/>
      <c r="C35" s="3"/>
      <c r="D35" s="3"/>
      <c r="E35" s="3"/>
      <c r="F35" s="3"/>
      <c r="G35" s="3"/>
      <c r="H35" s="3"/>
      <c r="I35" s="3"/>
    </row>
    <row r="36" spans="1:9" x14ac:dyDescent="0.25">
      <c r="A36" s="3" t="s">
        <v>29</v>
      </c>
      <c r="B36" s="3"/>
      <c r="C36">
        <f>SUM(C28:C35)</f>
        <v>100</v>
      </c>
      <c r="D36" s="3">
        <f>SUM(D28:D35)</f>
        <v>1</v>
      </c>
      <c r="E36" s="3">
        <f>SUM(E28:E35)</f>
        <v>100</v>
      </c>
      <c r="F36" s="3"/>
      <c r="G36" s="3" t="s">
        <v>30</v>
      </c>
      <c r="H36" s="3">
        <f>SUM(H28:H33)</f>
        <v>2.6747065522663673</v>
      </c>
      <c r="I36" s="3">
        <f>SUM(I28:I33)</f>
        <v>102.67470655226636</v>
      </c>
    </row>
    <row r="37" spans="1:9" x14ac:dyDescent="0.25">
      <c r="D37" t="s">
        <v>31</v>
      </c>
      <c r="E37">
        <f>6-2-1</f>
        <v>3</v>
      </c>
      <c r="G37" t="s">
        <v>32</v>
      </c>
      <c r="H37">
        <f>_xlfn.CHISQ.INV.RT(0.05,E37)</f>
        <v>7.8147279032511792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2023-11-27T15:02:53Z</dcterms:created>
  <dcterms:modified xsi:type="dcterms:W3CDTF">2023-11-27T19:19:19Z</dcterms:modified>
</cp:coreProperties>
</file>