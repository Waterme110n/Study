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1" i="1" l="1"/>
  <c r="B32" i="1"/>
  <c r="B33" i="1"/>
  <c r="B34" i="1"/>
  <c r="B35" i="1"/>
  <c r="B36" i="1"/>
  <c r="B37" i="1"/>
  <c r="B38" i="1"/>
  <c r="B30" i="1"/>
  <c r="A31" i="1"/>
  <c r="A32" i="1"/>
  <c r="A33" i="1"/>
  <c r="A34" i="1"/>
  <c r="A35" i="1"/>
  <c r="A36" i="1"/>
  <c r="A37" i="1"/>
  <c r="A38" i="1"/>
  <c r="A30" i="1"/>
  <c r="B19" i="1"/>
  <c r="B9" i="1"/>
  <c r="A22" i="1" l="1"/>
  <c r="D22" i="1"/>
  <c r="F19" i="1"/>
  <c r="D19" i="1"/>
  <c r="E7" i="1"/>
  <c r="E8" i="1"/>
  <c r="E9" i="1"/>
  <c r="E10" i="1"/>
  <c r="E11" i="1"/>
  <c r="E12" i="1"/>
  <c r="E13" i="1"/>
  <c r="E14" i="1"/>
  <c r="E6" i="1"/>
  <c r="D7" i="1"/>
  <c r="D8" i="1"/>
  <c r="D9" i="1"/>
  <c r="D10" i="1"/>
  <c r="D11" i="1"/>
  <c r="D12" i="1"/>
  <c r="D13" i="1"/>
  <c r="D14" i="1"/>
  <c r="D6" i="1"/>
  <c r="C7" i="1"/>
  <c r="C8" i="1"/>
  <c r="C9" i="1"/>
  <c r="C10" i="1"/>
  <c r="C11" i="1"/>
  <c r="C12" i="1"/>
  <c r="C13" i="1"/>
  <c r="C14" i="1"/>
  <c r="C6" i="1"/>
  <c r="B15" i="1"/>
  <c r="A15" i="1"/>
  <c r="B22" i="1" s="1"/>
  <c r="E15" i="1" l="1"/>
  <c r="A23" i="1"/>
  <c r="D15" i="1"/>
  <c r="B23" i="1" s="1"/>
  <c r="C15" i="1"/>
  <c r="D23" i="1" s="1"/>
  <c r="A26" i="1" a="1"/>
  <c r="B27" i="1" s="1"/>
  <c r="A27" i="1" l="1"/>
  <c r="B26" i="1"/>
  <c r="A26" i="1"/>
  <c r="D26" i="1" s="1" a="1"/>
  <c r="D26" i="1" l="1"/>
  <c r="D27" i="1"/>
</calcChain>
</file>

<file path=xl/sharedStrings.xml><?xml version="1.0" encoding="utf-8"?>
<sst xmlns="http://schemas.openxmlformats.org/spreadsheetml/2006/main" count="19" uniqueCount="19">
  <si>
    <t>исходные данные</t>
  </si>
  <si>
    <t>Т, ч</t>
  </si>
  <si>
    <t>К</t>
  </si>
  <si>
    <t>xi</t>
  </si>
  <si>
    <t>yi</t>
  </si>
  <si>
    <t>n=</t>
  </si>
  <si>
    <t>xiyi</t>
  </si>
  <si>
    <t>xi^2</t>
  </si>
  <si>
    <t>yi^2</t>
  </si>
  <si>
    <t>r=</t>
  </si>
  <si>
    <t>tрасч=</t>
  </si>
  <si>
    <t>tтабл=</t>
  </si>
  <si>
    <t>сиситема нормальных уравнений</t>
  </si>
  <si>
    <t>b0=</t>
  </si>
  <si>
    <t>b1=</t>
  </si>
  <si>
    <t>x1</t>
  </si>
  <si>
    <t>1/y1</t>
  </si>
  <si>
    <r>
      <t>y = 17,117e</t>
    </r>
    <r>
      <rPr>
        <vertAlign val="superscript"/>
        <sz val="9"/>
        <color rgb="FF595959"/>
        <rFont val="Calibri"/>
        <family val="2"/>
        <scheme val="minor"/>
      </rPr>
      <t>0,1893x</t>
    </r>
  </si>
  <si>
    <t>R² = 0,9772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</si>
</sst>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"/>
  </numFmts>
  <fonts count="6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charset val="134"/>
      <scheme val="minor"/>
    </font>
    <font>
      <sz val="9"/>
      <color rgb="FF595959"/>
      <name val="Calibri"/>
      <family val="2"/>
      <scheme val="minor"/>
    </font>
    <font>
      <vertAlign val="superscript"/>
      <sz val="9"/>
      <color rgb="FF595959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49998474074526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3">
    <xf numFmtId="0" fontId="0" fillId="0" borderId="0"/>
    <xf numFmtId="0" fontId="3" fillId="0" borderId="0">
      <alignment vertical="center"/>
    </xf>
    <xf numFmtId="0" fontId="2" fillId="0" borderId="0"/>
  </cellStyleXfs>
  <cellXfs count="19">
    <xf numFmtId="0" fontId="0" fillId="0" borderId="0" xfId="0"/>
    <xf numFmtId="0" fontId="3" fillId="0" borderId="0" xfId="1">
      <alignment vertical="center"/>
    </xf>
    <xf numFmtId="0" fontId="3" fillId="2" borderId="1" xfId="1" applyFill="1" applyBorder="1">
      <alignment vertical="center"/>
    </xf>
    <xf numFmtId="0" fontId="3" fillId="0" borderId="1" xfId="1" applyFill="1" applyBorder="1">
      <alignment vertical="center"/>
    </xf>
    <xf numFmtId="0" fontId="0" fillId="0" borderId="1" xfId="0" applyBorder="1"/>
    <xf numFmtId="0" fontId="2" fillId="2" borderId="1" xfId="1" applyFont="1" applyFill="1" applyBorder="1">
      <alignment vertical="center"/>
    </xf>
    <xf numFmtId="0" fontId="3" fillId="2" borderId="1" xfId="1" applyFill="1" applyBorder="1">
      <alignment vertical="center"/>
    </xf>
    <xf numFmtId="0" fontId="3" fillId="3" borderId="2" xfId="1" applyFill="1" applyBorder="1">
      <alignment vertical="center"/>
    </xf>
    <xf numFmtId="0" fontId="2" fillId="3" borderId="2" xfId="1" applyFont="1" applyFill="1" applyBorder="1">
      <alignment vertical="center"/>
    </xf>
    <xf numFmtId="0" fontId="0" fillId="0" borderId="0" xfId="0" applyAlignment="1">
      <alignment vertical="center"/>
    </xf>
    <xf numFmtId="0" fontId="0" fillId="3" borderId="1" xfId="0" applyFill="1" applyBorder="1" applyAlignment="1">
      <alignment vertical="center"/>
    </xf>
    <xf numFmtId="0" fontId="0" fillId="2" borderId="0" xfId="0" applyFill="1" applyAlignment="1">
      <alignment vertical="center"/>
    </xf>
    <xf numFmtId="0" fontId="0" fillId="0" borderId="0" xfId="0" applyAlignment="1">
      <alignment horizontal="right" vertical="center"/>
    </xf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2" fillId="4" borderId="1" xfId="2" applyFill="1" applyBorder="1"/>
    <xf numFmtId="164" fontId="2" fillId="4" borderId="1" xfId="2" applyNumberFormat="1" applyFill="1" applyBorder="1"/>
    <xf numFmtId="0" fontId="1" fillId="5" borderId="1" xfId="2" applyFont="1" applyFill="1" applyBorder="1"/>
    <xf numFmtId="0" fontId="4" fillId="0" borderId="0" xfId="0" applyFont="1" applyAlignment="1">
      <alignment horizontal="center" vertical="center" readingOrder="1"/>
    </xf>
  </cellXfs>
  <cellStyles count="3">
    <cellStyle name="Обычный" xfId="0" builtinId="0"/>
    <cellStyle name="Обычный 2" xfId="1"/>
    <cellStyle name="Обычный 3" xfId="2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Medium2" defaultPivotStyle="PivotStyleLight16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Гиперболическая</a:t>
            </a:r>
            <a:r>
              <a:rPr lang="ru-RU" baseline="0"/>
              <a:t> зависимость при </a:t>
            </a:r>
            <a:r>
              <a:rPr lang="en-US" baseline="0"/>
              <a:t>x=x1, y=1/y1</a:t>
            </a:r>
            <a:endParaRPr lang="ru-RU"/>
          </a:p>
        </c:rich>
      </c:tx>
      <c:layout>
        <c:manualLayout>
          <c:xMode val="edge"/>
          <c:yMode val="edge"/>
          <c:x val="0.12377777777777778"/>
          <c:y val="5.092592592592592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2.820997375328084E-2"/>
                  <c:y val="-0.30940616797900261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</c:trendlineLbl>
          </c:trendline>
          <c:xVal>
            <c:numRef>
              <c:f>Лист1!$A$30:$A$38</c:f>
              <c:numCache>
                <c:formatCode>0.000</c:formatCode>
                <c:ptCount val="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</c:numCache>
            </c:numRef>
          </c:xVal>
          <c:yVal>
            <c:numRef>
              <c:f>Лист1!$B$30:$B$38</c:f>
              <c:numCache>
                <c:formatCode>General</c:formatCode>
                <c:ptCount val="9"/>
                <c:pt idx="0">
                  <c:v>5.2631578947368418E-2</c:v>
                </c:pt>
                <c:pt idx="1">
                  <c:v>4.7619047619047616E-2</c:v>
                </c:pt>
                <c:pt idx="2">
                  <c:v>4.3478260869565216E-2</c:v>
                </c:pt>
                <c:pt idx="3">
                  <c:v>3.5714285714285712E-2</c:v>
                </c:pt>
                <c:pt idx="4">
                  <c:v>3.0303030303030304E-2</c:v>
                </c:pt>
                <c:pt idx="5">
                  <c:v>2.1739130434782608E-2</c:v>
                </c:pt>
                <c:pt idx="6">
                  <c:v>1.6666666666666666E-2</c:v>
                </c:pt>
                <c:pt idx="7">
                  <c:v>1.5873015873015872E-2</c:v>
                </c:pt>
                <c:pt idx="8">
                  <c:v>1.282051282051282E-2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750-4A31-A254-EA9A90D412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01095151"/>
        <c:axId val="1601090991"/>
      </c:scatterChart>
      <c:valAx>
        <c:axId val="16010951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601090991"/>
        <c:crosses val="autoZero"/>
        <c:crossBetween val="midCat"/>
      </c:valAx>
      <c:valAx>
        <c:axId val="16010909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60109515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6.6542873935960006E-2"/>
                  <c:y val="-7.6368166688543807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</c:trendlineLbl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og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1"/>
            <c:dispEq val="1"/>
            <c:trendlineLbl>
              <c:layout>
                <c:manualLayout>
                  <c:x val="0.14740106618534773"/>
                  <c:y val="0.2486930755071885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</c:trendlineLbl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exp"/>
            <c:dispRSqr val="1"/>
            <c:dispEq val="1"/>
            <c:trendlineLbl>
              <c:layout>
                <c:manualLayout>
                  <c:x val="-2.7927895523110679E-3"/>
                  <c:y val="1.353977545137544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</c:trendlineLbl>
          </c:trendline>
          <c:xVal>
            <c:numRef>
              <c:f>Лист1!$A$6:$A$14</c:f>
              <c:numCache>
                <c:formatCode>General</c:formatCode>
                <c:ptCount val="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</c:numCache>
            </c:numRef>
          </c:xVal>
          <c:yVal>
            <c:numRef>
              <c:f>Лист1!$B$6:$B$14</c:f>
              <c:numCache>
                <c:formatCode>General</c:formatCode>
                <c:ptCount val="9"/>
                <c:pt idx="0">
                  <c:v>19</c:v>
                </c:pt>
                <c:pt idx="1">
                  <c:v>21</c:v>
                </c:pt>
                <c:pt idx="2">
                  <c:v>23</c:v>
                </c:pt>
                <c:pt idx="3">
                  <c:v>28</c:v>
                </c:pt>
                <c:pt idx="4">
                  <c:v>33</c:v>
                </c:pt>
                <c:pt idx="5">
                  <c:v>46</c:v>
                </c:pt>
                <c:pt idx="6">
                  <c:v>60</c:v>
                </c:pt>
                <c:pt idx="7">
                  <c:v>63</c:v>
                </c:pt>
                <c:pt idx="8">
                  <c:v>78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04D-4821-97C4-79385BB8E7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90874015"/>
        <c:axId val="490869439"/>
      </c:scatterChart>
      <c:valAx>
        <c:axId val="4908740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90869439"/>
        <c:crosses val="autoZero"/>
        <c:crossBetween val="midCat"/>
      </c:valAx>
      <c:valAx>
        <c:axId val="4908694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9087401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280987</xdr:colOff>
      <xdr:row>23</xdr:row>
      <xdr:rowOff>9525</xdr:rowOff>
    </xdr:from>
    <xdr:to>
      <xdr:col>11</xdr:col>
      <xdr:colOff>585787</xdr:colOff>
      <xdr:row>37</xdr:row>
      <xdr:rowOff>85725</xdr:rowOff>
    </xdr:to>
    <xdr:graphicFrame macro="">
      <xdr:nvGraphicFramePr>
        <xdr:cNvPr id="3" name="Диаграмма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280145</xdr:colOff>
      <xdr:row>3</xdr:row>
      <xdr:rowOff>146797</xdr:rowOff>
    </xdr:from>
    <xdr:to>
      <xdr:col>20</xdr:col>
      <xdr:colOff>448235</xdr:colOff>
      <xdr:row>24</xdr:row>
      <xdr:rowOff>11206</xdr:rowOff>
    </xdr:to>
    <xdr:graphicFrame macro="">
      <xdr:nvGraphicFramePr>
        <xdr:cNvPr id="4" name="Диаграмма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38"/>
  <sheetViews>
    <sheetView tabSelected="1" zoomScale="85" zoomScaleNormal="85" workbookViewId="0">
      <selection activeCell="X17" sqref="X17:X18"/>
    </sheetView>
  </sheetViews>
  <sheetFormatPr defaultRowHeight="15"/>
  <sheetData>
    <row r="1" spans="1:10">
      <c r="A1" s="1" t="s">
        <v>0</v>
      </c>
      <c r="B1" s="1"/>
      <c r="C1" s="1"/>
      <c r="D1" s="1"/>
      <c r="E1" s="1"/>
      <c r="F1" s="1"/>
      <c r="G1" s="1"/>
      <c r="H1" s="1"/>
    </row>
    <row r="2" spans="1:10">
      <c r="A2" s="2" t="s">
        <v>1</v>
      </c>
      <c r="B2" s="3">
        <v>0</v>
      </c>
      <c r="C2" s="3">
        <v>1</v>
      </c>
      <c r="D2" s="3">
        <v>2</v>
      </c>
      <c r="E2" s="3">
        <v>3</v>
      </c>
      <c r="F2" s="3">
        <v>4</v>
      </c>
      <c r="G2" s="3">
        <v>5</v>
      </c>
      <c r="H2" s="3">
        <v>6</v>
      </c>
      <c r="I2" s="3">
        <v>7</v>
      </c>
      <c r="J2" s="3">
        <v>8</v>
      </c>
    </row>
    <row r="3" spans="1:10">
      <c r="A3" s="2" t="s">
        <v>2</v>
      </c>
      <c r="B3" s="3">
        <v>19</v>
      </c>
      <c r="C3" s="3">
        <v>21</v>
      </c>
      <c r="D3" s="3">
        <v>23</v>
      </c>
      <c r="E3" s="3">
        <v>28</v>
      </c>
      <c r="F3" s="3">
        <v>33</v>
      </c>
      <c r="G3" s="3">
        <v>46</v>
      </c>
      <c r="H3" s="3">
        <v>60</v>
      </c>
      <c r="I3" s="4">
        <v>63</v>
      </c>
      <c r="J3" s="4">
        <v>78</v>
      </c>
    </row>
    <row r="5" spans="1:10">
      <c r="A5" s="7" t="s">
        <v>3</v>
      </c>
      <c r="B5" s="7" t="s">
        <v>4</v>
      </c>
      <c r="C5" s="8" t="s">
        <v>6</v>
      </c>
      <c r="D5" s="8" t="s">
        <v>7</v>
      </c>
      <c r="E5" s="8" t="s">
        <v>8</v>
      </c>
    </row>
    <row r="6" spans="1:10">
      <c r="A6" s="6">
        <v>0</v>
      </c>
      <c r="B6" s="6">
        <v>19</v>
      </c>
      <c r="C6" s="4">
        <f>A6*B6</f>
        <v>0</v>
      </c>
      <c r="D6" s="4">
        <f>POWER(A6,2)</f>
        <v>0</v>
      </c>
      <c r="E6" s="4">
        <f>POWER(B6,2)</f>
        <v>361</v>
      </c>
    </row>
    <row r="7" spans="1:10">
      <c r="A7" s="6">
        <v>1</v>
      </c>
      <c r="B7" s="6">
        <v>21</v>
      </c>
      <c r="C7" s="4">
        <f t="shared" ref="C7:C14" si="0">A7*B7</f>
        <v>21</v>
      </c>
      <c r="D7" s="4">
        <f t="shared" ref="D7:D14" si="1">POWER(A7,2)</f>
        <v>1</v>
      </c>
      <c r="E7" s="4">
        <f t="shared" ref="E7:E14" si="2">POWER(B7,2)</f>
        <v>441</v>
      </c>
    </row>
    <row r="8" spans="1:10">
      <c r="A8" s="6">
        <v>2</v>
      </c>
      <c r="B8" s="6">
        <v>23</v>
      </c>
      <c r="C8" s="4">
        <f t="shared" si="0"/>
        <v>46</v>
      </c>
      <c r="D8" s="4">
        <f t="shared" si="1"/>
        <v>4</v>
      </c>
      <c r="E8" s="4">
        <f t="shared" si="2"/>
        <v>529</v>
      </c>
    </row>
    <row r="9" spans="1:10">
      <c r="A9" s="6">
        <v>3</v>
      </c>
      <c r="B9" s="6">
        <f>28</f>
        <v>28</v>
      </c>
      <c r="C9" s="4">
        <f t="shared" si="0"/>
        <v>84</v>
      </c>
      <c r="D9" s="4">
        <f t="shared" si="1"/>
        <v>9</v>
      </c>
      <c r="E9" s="4">
        <f t="shared" si="2"/>
        <v>784</v>
      </c>
    </row>
    <row r="10" spans="1:10">
      <c r="A10" s="6">
        <v>4</v>
      </c>
      <c r="B10" s="6">
        <v>33</v>
      </c>
      <c r="C10" s="4">
        <f t="shared" si="0"/>
        <v>132</v>
      </c>
      <c r="D10" s="4">
        <f t="shared" si="1"/>
        <v>16</v>
      </c>
      <c r="E10" s="4">
        <f t="shared" si="2"/>
        <v>1089</v>
      </c>
    </row>
    <row r="11" spans="1:10">
      <c r="A11" s="6">
        <v>5</v>
      </c>
      <c r="B11" s="6">
        <v>46</v>
      </c>
      <c r="C11" s="4">
        <f t="shared" si="0"/>
        <v>230</v>
      </c>
      <c r="D11" s="4">
        <f t="shared" si="1"/>
        <v>25</v>
      </c>
      <c r="E11" s="4">
        <f t="shared" si="2"/>
        <v>2116</v>
      </c>
    </row>
    <row r="12" spans="1:10">
      <c r="A12" s="6">
        <v>6</v>
      </c>
      <c r="B12" s="6">
        <v>60</v>
      </c>
      <c r="C12" s="4">
        <f t="shared" si="0"/>
        <v>360</v>
      </c>
      <c r="D12" s="4">
        <f t="shared" si="1"/>
        <v>36</v>
      </c>
      <c r="E12" s="4">
        <f t="shared" si="2"/>
        <v>3600</v>
      </c>
    </row>
    <row r="13" spans="1:10">
      <c r="A13" s="5">
        <v>7</v>
      </c>
      <c r="B13" s="5">
        <v>63</v>
      </c>
      <c r="C13" s="4">
        <f t="shared" si="0"/>
        <v>441</v>
      </c>
      <c r="D13" s="4">
        <f t="shared" si="1"/>
        <v>49</v>
      </c>
      <c r="E13" s="4">
        <f t="shared" si="2"/>
        <v>3969</v>
      </c>
    </row>
    <row r="14" spans="1:10">
      <c r="A14" s="4">
        <v>8</v>
      </c>
      <c r="B14" s="4">
        <v>78</v>
      </c>
      <c r="C14" s="4">
        <f t="shared" si="0"/>
        <v>624</v>
      </c>
      <c r="D14" s="4">
        <f t="shared" si="1"/>
        <v>64</v>
      </c>
      <c r="E14" s="4">
        <f t="shared" si="2"/>
        <v>6084</v>
      </c>
    </row>
    <row r="15" spans="1:10">
      <c r="A15" s="4">
        <f>SUM(A6:A14)</f>
        <v>36</v>
      </c>
      <c r="B15" s="4">
        <f>SUM(B6:B14)</f>
        <v>371</v>
      </c>
      <c r="C15" s="4">
        <f>SUM(C6:C14)</f>
        <v>1938</v>
      </c>
      <c r="D15" s="4">
        <f t="shared" ref="D15:E15" si="3">SUM(D6:D14)</f>
        <v>204</v>
      </c>
      <c r="E15" s="4">
        <f t="shared" si="3"/>
        <v>18973</v>
      </c>
    </row>
    <row r="17" spans="1:24">
      <c r="X17" s="18" t="s">
        <v>17</v>
      </c>
    </row>
    <row r="18" spans="1:24">
      <c r="A18" s="13" t="s">
        <v>5</v>
      </c>
      <c r="B18" s="14">
        <v>9</v>
      </c>
      <c r="X18" s="18" t="s">
        <v>18</v>
      </c>
    </row>
    <row r="19" spans="1:24">
      <c r="A19" s="13" t="s">
        <v>9</v>
      </c>
      <c r="B19" s="14">
        <f>CORREL(A6:A14,B6:B14)</f>
        <v>0.96623451166765173</v>
      </c>
      <c r="C19" s="13" t="s">
        <v>10</v>
      </c>
      <c r="D19" s="14">
        <f>ABS(B19)*SQRT((B18-2)/(1-B19^2))</f>
        <v>9.9215012303703798</v>
      </c>
      <c r="E19" s="12" t="s">
        <v>11</v>
      </c>
      <c r="F19" s="9">
        <f>TINV(0.05,B18-2)</f>
        <v>2.3646242515927849</v>
      </c>
    </row>
    <row r="21" spans="1:24">
      <c r="A21" s="9" t="s">
        <v>12</v>
      </c>
      <c r="B21" s="9"/>
      <c r="C21" s="9"/>
      <c r="D21" s="9"/>
    </row>
    <row r="22" spans="1:24">
      <c r="A22" s="10">
        <f>B18</f>
        <v>9</v>
      </c>
      <c r="B22" s="10">
        <f>A15</f>
        <v>36</v>
      </c>
      <c r="C22" s="11"/>
      <c r="D22" s="10">
        <f>B15</f>
        <v>371</v>
      </c>
    </row>
    <row r="23" spans="1:24">
      <c r="A23" s="10">
        <f>A15</f>
        <v>36</v>
      </c>
      <c r="B23" s="10">
        <f>D15</f>
        <v>204</v>
      </c>
      <c r="C23" s="11"/>
      <c r="D23" s="10">
        <f>C15</f>
        <v>1938</v>
      </c>
    </row>
    <row r="26" spans="1:24">
      <c r="A26" s="9">
        <f t="array" ref="A26:B27">MINVERSE(A22:B23)</f>
        <v>0.37777777777777777</v>
      </c>
      <c r="B26" s="9">
        <v>-6.6666666666666666E-2</v>
      </c>
      <c r="C26" s="12" t="s">
        <v>13</v>
      </c>
      <c r="D26" s="10">
        <f t="array" ref="D26:D27">MMULT(A26:B27,D22:D23)</f>
        <v>10.955555555555577</v>
      </c>
    </row>
    <row r="27" spans="1:24">
      <c r="A27" s="9">
        <v>-6.6666666666666666E-2</v>
      </c>
      <c r="B27" s="9">
        <v>1.6666666666666666E-2</v>
      </c>
      <c r="C27" s="12" t="s">
        <v>14</v>
      </c>
      <c r="D27" s="10">
        <v>7.5666666666666629</v>
      </c>
    </row>
    <row r="29" spans="1:24">
      <c r="A29" s="17" t="s">
        <v>15</v>
      </c>
      <c r="B29" s="17" t="s">
        <v>16</v>
      </c>
    </row>
    <row r="30" spans="1:24">
      <c r="A30" s="16">
        <f>A6</f>
        <v>0</v>
      </c>
      <c r="B30" s="15">
        <f>1/B6</f>
        <v>5.2631578947368418E-2</v>
      </c>
    </row>
    <row r="31" spans="1:24">
      <c r="A31" s="16">
        <f t="shared" ref="A31:A38" si="4">A7</f>
        <v>1</v>
      </c>
      <c r="B31" s="15">
        <f t="shared" ref="B31:B38" si="5">1/B7</f>
        <v>4.7619047619047616E-2</v>
      </c>
    </row>
    <row r="32" spans="1:24">
      <c r="A32" s="16">
        <f t="shared" si="4"/>
        <v>2</v>
      </c>
      <c r="B32" s="15">
        <f t="shared" si="5"/>
        <v>4.3478260869565216E-2</v>
      </c>
    </row>
    <row r="33" spans="1:2">
      <c r="A33" s="16">
        <f t="shared" si="4"/>
        <v>3</v>
      </c>
      <c r="B33" s="15">
        <f t="shared" si="5"/>
        <v>3.5714285714285712E-2</v>
      </c>
    </row>
    <row r="34" spans="1:2">
      <c r="A34" s="16">
        <f t="shared" si="4"/>
        <v>4</v>
      </c>
      <c r="B34" s="15">
        <f t="shared" si="5"/>
        <v>3.0303030303030304E-2</v>
      </c>
    </row>
    <row r="35" spans="1:2">
      <c r="A35" s="16">
        <f t="shared" si="4"/>
        <v>5</v>
      </c>
      <c r="B35" s="15">
        <f t="shared" si="5"/>
        <v>2.1739130434782608E-2</v>
      </c>
    </row>
    <row r="36" spans="1:2">
      <c r="A36" s="16">
        <f t="shared" si="4"/>
        <v>6</v>
      </c>
      <c r="B36" s="15">
        <f t="shared" si="5"/>
        <v>1.6666666666666666E-2</v>
      </c>
    </row>
    <row r="37" spans="1:2">
      <c r="A37" s="16">
        <f t="shared" si="4"/>
        <v>7</v>
      </c>
      <c r="B37" s="15">
        <f t="shared" si="5"/>
        <v>1.5873015873015872E-2</v>
      </c>
    </row>
    <row r="38" spans="1:2">
      <c r="A38" s="16">
        <f t="shared" si="4"/>
        <v>8</v>
      </c>
      <c r="B38" s="15">
        <f t="shared" si="5"/>
        <v>1.282051282051282E-2</v>
      </c>
    </row>
  </sheetData>
  <pageMargins left="0.7" right="0.7" top="0.75" bottom="0.75" header="0.3" footer="0.3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2023-12-13T11:23:23Z</dcterms:modified>
</cp:coreProperties>
</file>